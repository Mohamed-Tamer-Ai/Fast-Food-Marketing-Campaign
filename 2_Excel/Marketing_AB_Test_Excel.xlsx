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5"/>
  <workbookPr/>
  <mc:AlternateContent xmlns:mc="http://schemas.openxmlformats.org/markup-compatibility/2006">
    <mc:Choice Requires="x15">
      <x15ac:absPath xmlns:x15ac="http://schemas.microsoft.com/office/spreadsheetml/2010/11/ac" url="C:\Users\MOHAMED TAMER\Desktop\NTI Project\Marketing_Campaign_AB_Test\2_Excel\"/>
    </mc:Choice>
  </mc:AlternateContent>
  <xr:revisionPtr revIDLastSave="0" documentId="13_ncr:1_{DAD0AEDA-08FF-45B1-B33F-C5EF3644A26B}" xr6:coauthVersionLast="47" xr6:coauthVersionMax="47" xr10:uidLastSave="{00000000-0000-0000-0000-000000000000}"/>
  <bookViews>
    <workbookView xWindow="-108" yWindow="-108" windowWidth="23256" windowHeight="12456" activeTab="4" xr2:uid="{00000000-000D-0000-FFFF-FFFF00000000}"/>
  </bookViews>
  <sheets>
    <sheet name="Raw Data" sheetId="1" r:id="rId1"/>
    <sheet name="Cleaned Data" sheetId="2" r:id="rId2"/>
    <sheet name="Pivot Analysis" sheetId="3" r:id="rId3"/>
    <sheet name="KPIs" sheetId="4" r:id="rId4"/>
    <sheet name="Dashboard" sheetId="5" r:id="rId5"/>
  </sheets>
  <definedNames>
    <definedName name="Slicer_MarketSize">#N/A</definedName>
    <definedName name="Slicer_Promot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D4" i="4" s="1"/>
  <c r="B4" i="4"/>
  <c r="C3" i="4"/>
  <c r="D3" i="4" s="1"/>
  <c r="B3" i="4"/>
  <c r="C2" i="4"/>
  <c r="B2" i="4"/>
</calcChain>
</file>

<file path=xl/sharedStrings.xml><?xml version="1.0" encoding="utf-8"?>
<sst xmlns="http://schemas.openxmlformats.org/spreadsheetml/2006/main" count="1149" uniqueCount="31">
  <si>
    <t>MarketID</t>
  </si>
  <si>
    <t>MarketSize</t>
  </si>
  <si>
    <t>LocationID</t>
  </si>
  <si>
    <t>AgeOfStore</t>
  </si>
  <si>
    <t>Promotion</t>
  </si>
  <si>
    <t>week</t>
  </si>
  <si>
    <t>SalesInThousands</t>
  </si>
  <si>
    <t>Medium</t>
  </si>
  <si>
    <t>Small</t>
  </si>
  <si>
    <t>Large</t>
  </si>
  <si>
    <t>Total Sales (k)</t>
  </si>
  <si>
    <t>Avg Weekly Sales (k)</t>
  </si>
  <si>
    <t>% Lift vs Promo 1</t>
  </si>
  <si>
    <t>Promo 1</t>
  </si>
  <si>
    <t>Baseline</t>
  </si>
  <si>
    <t>Promo 2</t>
  </si>
  <si>
    <t>Promo 3</t>
  </si>
  <si>
    <t>Row Labels</t>
  </si>
  <si>
    <t>Grand Total</t>
  </si>
  <si>
    <t>Sum of SalesInThousands</t>
  </si>
  <si>
    <t>Total Sales ($k)</t>
  </si>
  <si>
    <t>Column Labels</t>
  </si>
  <si>
    <t>Average of SalesInThousands</t>
  </si>
  <si>
    <t>Avg Weekly Sales ($k)</t>
  </si>
  <si>
    <t>1-4</t>
  </si>
  <si>
    <t>5-8</t>
  </si>
  <si>
    <t>9-12</t>
  </si>
  <si>
    <t>13-16</t>
  </si>
  <si>
    <t>17-20</t>
  </si>
  <si>
    <t>21-24</t>
  </si>
  <si>
    <t>25-28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</si>
</sst>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2">
    <dxf>
      <numFmt numFmtId="164" formatCode="&quot;$&quot;#,##0.00"/>
    </dxf>
    <dxf>
      <numFmt numFmtId="164" formatCode="&quot;$&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[Marketing_AB_Test_Excel.xlsx]Pivot 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c:f>
              <c:strCache>
                <c:ptCount val="1"/>
                <c:pt idx="0">
                  <c:v>Total</c:v>
                </c:pt>
              </c:strCache>
            </c:strRef>
          </c:tx>
          <c:spPr>
            <a:solidFill>
              <a:schemeClr val="accent1"/>
            </a:solidFill>
            <a:ln>
              <a:noFill/>
            </a:ln>
            <a:effectLst/>
          </c:spPr>
          <c:invertIfNegative val="0"/>
          <c:cat>
            <c:strRef>
              <c:f>'Pivot Analysis'!$A$3:$A$6</c:f>
              <c:strCache>
                <c:ptCount val="3"/>
                <c:pt idx="0">
                  <c:v>1</c:v>
                </c:pt>
                <c:pt idx="1">
                  <c:v>2</c:v>
                </c:pt>
                <c:pt idx="2">
                  <c:v>3</c:v>
                </c:pt>
              </c:strCache>
            </c:strRef>
          </c:cat>
          <c:val>
            <c:numRef>
              <c:f>'Pivot Analysis'!$B$3:$B$6</c:f>
              <c:numCache>
                <c:formatCode>"$"#,##0.00</c:formatCode>
                <c:ptCount val="3"/>
                <c:pt idx="0">
                  <c:v>9993.0300000000116</c:v>
                </c:pt>
                <c:pt idx="1">
                  <c:v>8897.9300000000112</c:v>
                </c:pt>
                <c:pt idx="2">
                  <c:v>10408.519999999997</c:v>
                </c:pt>
              </c:numCache>
            </c:numRef>
          </c:val>
          <c:extLst>
            <c:ext xmlns:c16="http://schemas.microsoft.com/office/drawing/2014/chart" uri="{C3380CC4-5D6E-409C-BE32-E72D297353CC}">
              <c16:uniqueId val="{00000000-7FE8-425A-A8D3-D3CF87A20AEB}"/>
            </c:ext>
          </c:extLst>
        </c:ser>
        <c:dLbls>
          <c:showLegendKey val="0"/>
          <c:showVal val="0"/>
          <c:showCatName val="0"/>
          <c:showSerName val="0"/>
          <c:showPercent val="0"/>
          <c:showBubbleSize val="0"/>
        </c:dLbls>
        <c:gapWidth val="219"/>
        <c:overlap val="-27"/>
        <c:axId val="2048664271"/>
        <c:axId val="1542592463"/>
      </c:barChart>
      <c:catAx>
        <c:axId val="204866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592463"/>
        <c:crosses val="autoZero"/>
        <c:auto val="1"/>
        <c:lblAlgn val="ctr"/>
        <c:lblOffset val="100"/>
        <c:noMultiLvlLbl val="0"/>
      </c:catAx>
      <c:valAx>
        <c:axId val="1542592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66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[Marketing_AB_Test_Excel.xlsx]Pivot Analysis!PivotTable7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Analysis'!$E$2:$E$3</c:f>
              <c:strCache>
                <c:ptCount val="1"/>
                <c:pt idx="0">
                  <c:v>Large</c:v>
                </c:pt>
              </c:strCache>
            </c:strRef>
          </c:tx>
          <c:spPr>
            <a:solidFill>
              <a:schemeClr val="accent1"/>
            </a:solidFill>
            <a:ln>
              <a:noFill/>
            </a:ln>
            <a:effectLst/>
          </c:spPr>
          <c:invertIfNegative val="0"/>
          <c:cat>
            <c:strRef>
              <c:f>'Pivot Analysis'!$D$4:$D$7</c:f>
              <c:strCache>
                <c:ptCount val="3"/>
                <c:pt idx="0">
                  <c:v>1</c:v>
                </c:pt>
                <c:pt idx="1">
                  <c:v>2</c:v>
                </c:pt>
                <c:pt idx="2">
                  <c:v>3</c:v>
                </c:pt>
              </c:strCache>
            </c:strRef>
          </c:cat>
          <c:val>
            <c:numRef>
              <c:f>'Pivot Analysis'!$E$4:$E$7</c:f>
              <c:numCache>
                <c:formatCode>General</c:formatCode>
                <c:ptCount val="3"/>
                <c:pt idx="0">
                  <c:v>4213.21</c:v>
                </c:pt>
                <c:pt idx="1">
                  <c:v>3860.6099999999992</c:v>
                </c:pt>
                <c:pt idx="2">
                  <c:v>3705.79</c:v>
                </c:pt>
              </c:numCache>
            </c:numRef>
          </c:val>
          <c:extLst>
            <c:ext xmlns:c16="http://schemas.microsoft.com/office/drawing/2014/chart" uri="{C3380CC4-5D6E-409C-BE32-E72D297353CC}">
              <c16:uniqueId val="{00000000-BBCA-4B94-A0AC-51C622CB7E1C}"/>
            </c:ext>
          </c:extLst>
        </c:ser>
        <c:ser>
          <c:idx val="1"/>
          <c:order val="1"/>
          <c:tx>
            <c:strRef>
              <c:f>'Pivot Analysis'!$F$2:$F$3</c:f>
              <c:strCache>
                <c:ptCount val="1"/>
                <c:pt idx="0">
                  <c:v>Medium</c:v>
                </c:pt>
              </c:strCache>
            </c:strRef>
          </c:tx>
          <c:spPr>
            <a:solidFill>
              <a:schemeClr val="accent2"/>
            </a:solidFill>
            <a:ln>
              <a:noFill/>
            </a:ln>
            <a:effectLst/>
          </c:spPr>
          <c:invertIfNegative val="0"/>
          <c:cat>
            <c:strRef>
              <c:f>'Pivot Analysis'!$D$4:$D$7</c:f>
              <c:strCache>
                <c:ptCount val="3"/>
                <c:pt idx="0">
                  <c:v>1</c:v>
                </c:pt>
                <c:pt idx="1">
                  <c:v>2</c:v>
                </c:pt>
                <c:pt idx="2">
                  <c:v>3</c:v>
                </c:pt>
              </c:strCache>
            </c:strRef>
          </c:cat>
          <c:val>
            <c:numRef>
              <c:f>'Pivot Analysis'!$F$4:$F$7</c:f>
              <c:numCache>
                <c:formatCode>General</c:formatCode>
                <c:ptCount val="3"/>
                <c:pt idx="0">
                  <c:v>4576.5700000000006</c:v>
                </c:pt>
                <c:pt idx="1">
                  <c:v>4224.3499999999995</c:v>
                </c:pt>
                <c:pt idx="2">
                  <c:v>5274.39</c:v>
                </c:pt>
              </c:numCache>
            </c:numRef>
          </c:val>
          <c:extLst>
            <c:ext xmlns:c16="http://schemas.microsoft.com/office/drawing/2014/chart" uri="{C3380CC4-5D6E-409C-BE32-E72D297353CC}">
              <c16:uniqueId val="{00000004-BBCA-4B94-A0AC-51C622CB7E1C}"/>
            </c:ext>
          </c:extLst>
        </c:ser>
        <c:ser>
          <c:idx val="2"/>
          <c:order val="2"/>
          <c:tx>
            <c:strRef>
              <c:f>'Pivot Analysis'!$G$2:$G$3</c:f>
              <c:strCache>
                <c:ptCount val="1"/>
                <c:pt idx="0">
                  <c:v>Small</c:v>
                </c:pt>
              </c:strCache>
            </c:strRef>
          </c:tx>
          <c:spPr>
            <a:solidFill>
              <a:schemeClr val="accent3"/>
            </a:solidFill>
            <a:ln>
              <a:noFill/>
            </a:ln>
            <a:effectLst/>
          </c:spPr>
          <c:invertIfNegative val="0"/>
          <c:cat>
            <c:strRef>
              <c:f>'Pivot Analysis'!$D$4:$D$7</c:f>
              <c:strCache>
                <c:ptCount val="3"/>
                <c:pt idx="0">
                  <c:v>1</c:v>
                </c:pt>
                <c:pt idx="1">
                  <c:v>2</c:v>
                </c:pt>
                <c:pt idx="2">
                  <c:v>3</c:v>
                </c:pt>
              </c:strCache>
            </c:strRef>
          </c:cat>
          <c:val>
            <c:numRef>
              <c:f>'Pivot Analysis'!$G$4:$G$7</c:f>
              <c:numCache>
                <c:formatCode>General</c:formatCode>
                <c:ptCount val="3"/>
                <c:pt idx="0">
                  <c:v>1203.2500000000002</c:v>
                </c:pt>
                <c:pt idx="1">
                  <c:v>812.97</c:v>
                </c:pt>
                <c:pt idx="2">
                  <c:v>1428.3400000000001</c:v>
                </c:pt>
              </c:numCache>
            </c:numRef>
          </c:val>
          <c:extLst>
            <c:ext xmlns:c16="http://schemas.microsoft.com/office/drawing/2014/chart" uri="{C3380CC4-5D6E-409C-BE32-E72D297353CC}">
              <c16:uniqueId val="{00000005-BBCA-4B94-A0AC-51C622CB7E1C}"/>
            </c:ext>
          </c:extLst>
        </c:ser>
        <c:dLbls>
          <c:showLegendKey val="0"/>
          <c:showVal val="0"/>
          <c:showCatName val="0"/>
          <c:showSerName val="0"/>
          <c:showPercent val="0"/>
          <c:showBubbleSize val="0"/>
        </c:dLbls>
        <c:gapWidth val="219"/>
        <c:overlap val="-27"/>
        <c:axId val="2067363903"/>
        <c:axId val="1542578063"/>
      </c:barChart>
      <c:catAx>
        <c:axId val="206736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578063"/>
        <c:crosses val="autoZero"/>
        <c:auto val="1"/>
        <c:lblAlgn val="ctr"/>
        <c:lblOffset val="100"/>
        <c:noMultiLvlLbl val="0"/>
      </c:catAx>
      <c:valAx>
        <c:axId val="154257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36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[Marketing_AB_Test_Excel.xlsx]Pivot Analysis!PivotTable8</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Analysis'!$K$2:$K$3</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Analysis'!$J$4:$J$8</c:f>
              <c:strCache>
                <c:ptCount val="4"/>
                <c:pt idx="0">
                  <c:v>1</c:v>
                </c:pt>
                <c:pt idx="1">
                  <c:v>2</c:v>
                </c:pt>
                <c:pt idx="2">
                  <c:v>3</c:v>
                </c:pt>
                <c:pt idx="3">
                  <c:v>4</c:v>
                </c:pt>
              </c:strCache>
            </c:strRef>
          </c:cat>
          <c:val>
            <c:numRef>
              <c:f>'Pivot Analysis'!$K$4:$K$8</c:f>
              <c:numCache>
                <c:formatCode>General</c:formatCode>
                <c:ptCount val="4"/>
                <c:pt idx="0">
                  <c:v>58.24441860465118</c:v>
                </c:pt>
                <c:pt idx="1">
                  <c:v>56.929534883720912</c:v>
                </c:pt>
                <c:pt idx="2">
                  <c:v>58.774883720930212</c:v>
                </c:pt>
                <c:pt idx="3">
                  <c:v>58.447209302325589</c:v>
                </c:pt>
              </c:numCache>
            </c:numRef>
          </c:val>
          <c:smooth val="0"/>
          <c:extLst>
            <c:ext xmlns:c16="http://schemas.microsoft.com/office/drawing/2014/chart" uri="{C3380CC4-5D6E-409C-BE32-E72D297353CC}">
              <c16:uniqueId val="{00000000-3E84-4C4C-8BD4-F2372D16FD55}"/>
            </c:ext>
          </c:extLst>
        </c:ser>
        <c:ser>
          <c:idx val="1"/>
          <c:order val="1"/>
          <c:tx>
            <c:strRef>
              <c:f>'Pivot Analysis'!$L$2:$L$3</c:f>
              <c:strCache>
                <c:ptCount val="1"/>
                <c:pt idx="0">
                  <c:v>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Analysis'!$J$4:$J$8</c:f>
              <c:strCache>
                <c:ptCount val="4"/>
                <c:pt idx="0">
                  <c:v>1</c:v>
                </c:pt>
                <c:pt idx="1">
                  <c:v>2</c:v>
                </c:pt>
                <c:pt idx="2">
                  <c:v>3</c:v>
                </c:pt>
                <c:pt idx="3">
                  <c:v>4</c:v>
                </c:pt>
              </c:strCache>
            </c:strRef>
          </c:cat>
          <c:val>
            <c:numRef>
              <c:f>'Pivot Analysis'!$L$4:$L$8</c:f>
              <c:numCache>
                <c:formatCode>General</c:formatCode>
                <c:ptCount val="4"/>
                <c:pt idx="0">
                  <c:v>47.73021276595744</c:v>
                </c:pt>
                <c:pt idx="1">
                  <c:v>47.582553191489353</c:v>
                </c:pt>
                <c:pt idx="2">
                  <c:v>47.722127659574468</c:v>
                </c:pt>
                <c:pt idx="3">
                  <c:v>46.282765957446799</c:v>
                </c:pt>
              </c:numCache>
            </c:numRef>
          </c:val>
          <c:smooth val="0"/>
          <c:extLst>
            <c:ext xmlns:c16="http://schemas.microsoft.com/office/drawing/2014/chart" uri="{C3380CC4-5D6E-409C-BE32-E72D297353CC}">
              <c16:uniqueId val="{00000001-3E84-4C4C-8BD4-F2372D16FD55}"/>
            </c:ext>
          </c:extLst>
        </c:ser>
        <c:ser>
          <c:idx val="2"/>
          <c:order val="2"/>
          <c:tx>
            <c:strRef>
              <c:f>'Pivot Analysis'!$M$2:$M$3</c:f>
              <c:strCache>
                <c:ptCount val="1"/>
                <c:pt idx="0">
                  <c:v>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Analysis'!$J$4:$J$8</c:f>
              <c:strCache>
                <c:ptCount val="4"/>
                <c:pt idx="0">
                  <c:v>1</c:v>
                </c:pt>
                <c:pt idx="1">
                  <c:v>2</c:v>
                </c:pt>
                <c:pt idx="2">
                  <c:v>3</c:v>
                </c:pt>
                <c:pt idx="3">
                  <c:v>4</c:v>
                </c:pt>
              </c:strCache>
            </c:strRef>
          </c:cat>
          <c:val>
            <c:numRef>
              <c:f>'Pivot Analysis'!$M$4:$M$8</c:f>
              <c:numCache>
                <c:formatCode>General</c:formatCode>
                <c:ptCount val="4"/>
                <c:pt idx="0">
                  <c:v>55.776170212765969</c:v>
                </c:pt>
                <c:pt idx="1">
                  <c:v>55.949148936170225</c:v>
                </c:pt>
                <c:pt idx="2">
                  <c:v>54.377872340425519</c:v>
                </c:pt>
                <c:pt idx="3">
                  <c:v>55.354680851063804</c:v>
                </c:pt>
              </c:numCache>
            </c:numRef>
          </c:val>
          <c:smooth val="0"/>
          <c:extLst>
            <c:ext xmlns:c16="http://schemas.microsoft.com/office/drawing/2014/chart" uri="{C3380CC4-5D6E-409C-BE32-E72D297353CC}">
              <c16:uniqueId val="{00000002-3E84-4C4C-8BD4-F2372D16FD55}"/>
            </c:ext>
          </c:extLst>
        </c:ser>
        <c:dLbls>
          <c:showLegendKey val="0"/>
          <c:showVal val="0"/>
          <c:showCatName val="0"/>
          <c:showSerName val="0"/>
          <c:showPercent val="0"/>
          <c:showBubbleSize val="0"/>
        </c:dLbls>
        <c:marker val="1"/>
        <c:smooth val="0"/>
        <c:axId val="2065458799"/>
        <c:axId val="1542631343"/>
      </c:lineChart>
      <c:catAx>
        <c:axId val="206545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631343"/>
        <c:crosses val="autoZero"/>
        <c:auto val="1"/>
        <c:lblAlgn val="ctr"/>
        <c:lblOffset val="100"/>
        <c:noMultiLvlLbl val="0"/>
      </c:catAx>
      <c:valAx>
        <c:axId val="154263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45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[Marketing_AB_Test_Excel.xlsx]Pivot Analysis!PivotTable4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c:f>
              <c:strCache>
                <c:ptCount val="1"/>
                <c:pt idx="0">
                  <c:v>Total</c:v>
                </c:pt>
              </c:strCache>
            </c:strRef>
          </c:tx>
          <c:spPr>
            <a:solidFill>
              <a:schemeClr val="accent1"/>
            </a:solidFill>
            <a:ln>
              <a:noFill/>
            </a:ln>
            <a:effectLst/>
          </c:spPr>
          <c:invertIfNegative val="0"/>
          <c:cat>
            <c:strRef>
              <c:f>'Pivot Analysis'!$A$3:$A$6</c:f>
              <c:strCache>
                <c:ptCount val="3"/>
                <c:pt idx="0">
                  <c:v>1</c:v>
                </c:pt>
                <c:pt idx="1">
                  <c:v>2</c:v>
                </c:pt>
                <c:pt idx="2">
                  <c:v>3</c:v>
                </c:pt>
              </c:strCache>
            </c:strRef>
          </c:cat>
          <c:val>
            <c:numRef>
              <c:f>'Pivot Analysis'!$B$3:$B$6</c:f>
              <c:numCache>
                <c:formatCode>"$"#,##0.00</c:formatCode>
                <c:ptCount val="3"/>
                <c:pt idx="0">
                  <c:v>9993.0300000000116</c:v>
                </c:pt>
                <c:pt idx="1">
                  <c:v>8897.9300000000112</c:v>
                </c:pt>
                <c:pt idx="2">
                  <c:v>10408.519999999997</c:v>
                </c:pt>
              </c:numCache>
            </c:numRef>
          </c:val>
          <c:extLst>
            <c:ext xmlns:c16="http://schemas.microsoft.com/office/drawing/2014/chart" uri="{C3380CC4-5D6E-409C-BE32-E72D297353CC}">
              <c16:uniqueId val="{00000000-3F5B-48B0-BBC5-7C9300DD88A9}"/>
            </c:ext>
          </c:extLst>
        </c:ser>
        <c:dLbls>
          <c:showLegendKey val="0"/>
          <c:showVal val="0"/>
          <c:showCatName val="0"/>
          <c:showSerName val="0"/>
          <c:showPercent val="0"/>
          <c:showBubbleSize val="0"/>
        </c:dLbls>
        <c:gapWidth val="219"/>
        <c:overlap val="-27"/>
        <c:axId val="2048664271"/>
        <c:axId val="1542592463"/>
      </c:barChart>
      <c:catAx>
        <c:axId val="204866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592463"/>
        <c:crosses val="autoZero"/>
        <c:auto val="1"/>
        <c:lblAlgn val="ctr"/>
        <c:lblOffset val="100"/>
        <c:noMultiLvlLbl val="0"/>
      </c:catAx>
      <c:valAx>
        <c:axId val="1542592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66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[Marketing_AB_Test_Excel.xlsx]Pivot Analysis!PivotTable7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Analysis'!$E$2:$E$3</c:f>
              <c:strCache>
                <c:ptCount val="1"/>
                <c:pt idx="0">
                  <c:v>Large</c:v>
                </c:pt>
              </c:strCache>
            </c:strRef>
          </c:tx>
          <c:spPr>
            <a:solidFill>
              <a:schemeClr val="accent1"/>
            </a:solidFill>
            <a:ln>
              <a:noFill/>
            </a:ln>
            <a:effectLst/>
          </c:spPr>
          <c:invertIfNegative val="0"/>
          <c:cat>
            <c:strRef>
              <c:f>'Pivot Analysis'!$D$4:$D$7</c:f>
              <c:strCache>
                <c:ptCount val="3"/>
                <c:pt idx="0">
                  <c:v>1</c:v>
                </c:pt>
                <c:pt idx="1">
                  <c:v>2</c:v>
                </c:pt>
                <c:pt idx="2">
                  <c:v>3</c:v>
                </c:pt>
              </c:strCache>
            </c:strRef>
          </c:cat>
          <c:val>
            <c:numRef>
              <c:f>'Pivot Analysis'!$E$4:$E$7</c:f>
              <c:numCache>
                <c:formatCode>General</c:formatCode>
                <c:ptCount val="3"/>
                <c:pt idx="0">
                  <c:v>4213.21</c:v>
                </c:pt>
                <c:pt idx="1">
                  <c:v>3860.6099999999992</c:v>
                </c:pt>
                <c:pt idx="2">
                  <c:v>3705.79</c:v>
                </c:pt>
              </c:numCache>
            </c:numRef>
          </c:val>
          <c:extLst>
            <c:ext xmlns:c16="http://schemas.microsoft.com/office/drawing/2014/chart" uri="{C3380CC4-5D6E-409C-BE32-E72D297353CC}">
              <c16:uniqueId val="{00000000-C0A0-4432-9E20-732A23A162D2}"/>
            </c:ext>
          </c:extLst>
        </c:ser>
        <c:ser>
          <c:idx val="1"/>
          <c:order val="1"/>
          <c:tx>
            <c:strRef>
              <c:f>'Pivot Analysis'!$F$2:$F$3</c:f>
              <c:strCache>
                <c:ptCount val="1"/>
                <c:pt idx="0">
                  <c:v>Medium</c:v>
                </c:pt>
              </c:strCache>
            </c:strRef>
          </c:tx>
          <c:spPr>
            <a:solidFill>
              <a:schemeClr val="accent2"/>
            </a:solidFill>
            <a:ln>
              <a:noFill/>
            </a:ln>
            <a:effectLst/>
          </c:spPr>
          <c:invertIfNegative val="0"/>
          <c:cat>
            <c:strRef>
              <c:f>'Pivot Analysis'!$D$4:$D$7</c:f>
              <c:strCache>
                <c:ptCount val="3"/>
                <c:pt idx="0">
                  <c:v>1</c:v>
                </c:pt>
                <c:pt idx="1">
                  <c:v>2</c:v>
                </c:pt>
                <c:pt idx="2">
                  <c:v>3</c:v>
                </c:pt>
              </c:strCache>
            </c:strRef>
          </c:cat>
          <c:val>
            <c:numRef>
              <c:f>'Pivot Analysis'!$F$4:$F$7</c:f>
              <c:numCache>
                <c:formatCode>General</c:formatCode>
                <c:ptCount val="3"/>
                <c:pt idx="0">
                  <c:v>4576.5700000000006</c:v>
                </c:pt>
                <c:pt idx="1">
                  <c:v>4224.3499999999995</c:v>
                </c:pt>
                <c:pt idx="2">
                  <c:v>5274.39</c:v>
                </c:pt>
              </c:numCache>
            </c:numRef>
          </c:val>
          <c:extLst>
            <c:ext xmlns:c16="http://schemas.microsoft.com/office/drawing/2014/chart" uri="{C3380CC4-5D6E-409C-BE32-E72D297353CC}">
              <c16:uniqueId val="{00000004-C0A0-4432-9E20-732A23A162D2}"/>
            </c:ext>
          </c:extLst>
        </c:ser>
        <c:ser>
          <c:idx val="2"/>
          <c:order val="2"/>
          <c:tx>
            <c:strRef>
              <c:f>'Pivot Analysis'!$G$2:$G$3</c:f>
              <c:strCache>
                <c:ptCount val="1"/>
                <c:pt idx="0">
                  <c:v>Small</c:v>
                </c:pt>
              </c:strCache>
            </c:strRef>
          </c:tx>
          <c:spPr>
            <a:solidFill>
              <a:schemeClr val="accent3"/>
            </a:solidFill>
            <a:ln>
              <a:noFill/>
            </a:ln>
            <a:effectLst/>
          </c:spPr>
          <c:invertIfNegative val="0"/>
          <c:cat>
            <c:strRef>
              <c:f>'Pivot Analysis'!$D$4:$D$7</c:f>
              <c:strCache>
                <c:ptCount val="3"/>
                <c:pt idx="0">
                  <c:v>1</c:v>
                </c:pt>
                <c:pt idx="1">
                  <c:v>2</c:v>
                </c:pt>
                <c:pt idx="2">
                  <c:v>3</c:v>
                </c:pt>
              </c:strCache>
            </c:strRef>
          </c:cat>
          <c:val>
            <c:numRef>
              <c:f>'Pivot Analysis'!$G$4:$G$7</c:f>
              <c:numCache>
                <c:formatCode>General</c:formatCode>
                <c:ptCount val="3"/>
                <c:pt idx="0">
                  <c:v>1203.2500000000002</c:v>
                </c:pt>
                <c:pt idx="1">
                  <c:v>812.97</c:v>
                </c:pt>
                <c:pt idx="2">
                  <c:v>1428.3400000000001</c:v>
                </c:pt>
              </c:numCache>
            </c:numRef>
          </c:val>
          <c:extLst>
            <c:ext xmlns:c16="http://schemas.microsoft.com/office/drawing/2014/chart" uri="{C3380CC4-5D6E-409C-BE32-E72D297353CC}">
              <c16:uniqueId val="{00000005-C0A0-4432-9E20-732A23A162D2}"/>
            </c:ext>
          </c:extLst>
        </c:ser>
        <c:dLbls>
          <c:showLegendKey val="0"/>
          <c:showVal val="0"/>
          <c:showCatName val="0"/>
          <c:showSerName val="0"/>
          <c:showPercent val="0"/>
          <c:showBubbleSize val="0"/>
        </c:dLbls>
        <c:gapWidth val="219"/>
        <c:overlap val="-27"/>
        <c:axId val="2067363903"/>
        <c:axId val="1542578063"/>
      </c:barChart>
      <c:catAx>
        <c:axId val="206736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578063"/>
        <c:crosses val="autoZero"/>
        <c:auto val="1"/>
        <c:lblAlgn val="ctr"/>
        <c:lblOffset val="100"/>
        <c:noMultiLvlLbl val="0"/>
      </c:catAx>
      <c:valAx>
        <c:axId val="154257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36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[Marketing_AB_Test_Excel.xlsx]Pivot Analysis!PivotTable8</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Analysis'!$K$2:$K$3</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Analysis'!$J$4:$J$8</c:f>
              <c:strCache>
                <c:ptCount val="4"/>
                <c:pt idx="0">
                  <c:v>1</c:v>
                </c:pt>
                <c:pt idx="1">
                  <c:v>2</c:v>
                </c:pt>
                <c:pt idx="2">
                  <c:v>3</c:v>
                </c:pt>
                <c:pt idx="3">
                  <c:v>4</c:v>
                </c:pt>
              </c:strCache>
            </c:strRef>
          </c:cat>
          <c:val>
            <c:numRef>
              <c:f>'Pivot Analysis'!$K$4:$K$8</c:f>
              <c:numCache>
                <c:formatCode>General</c:formatCode>
                <c:ptCount val="4"/>
                <c:pt idx="0">
                  <c:v>58.24441860465118</c:v>
                </c:pt>
                <c:pt idx="1">
                  <c:v>56.929534883720912</c:v>
                </c:pt>
                <c:pt idx="2">
                  <c:v>58.774883720930212</c:v>
                </c:pt>
                <c:pt idx="3">
                  <c:v>58.447209302325589</c:v>
                </c:pt>
              </c:numCache>
            </c:numRef>
          </c:val>
          <c:smooth val="0"/>
          <c:extLst>
            <c:ext xmlns:c16="http://schemas.microsoft.com/office/drawing/2014/chart" uri="{C3380CC4-5D6E-409C-BE32-E72D297353CC}">
              <c16:uniqueId val="{00000000-DFCA-4184-B854-1663C0EFC6EC}"/>
            </c:ext>
          </c:extLst>
        </c:ser>
        <c:ser>
          <c:idx val="1"/>
          <c:order val="1"/>
          <c:tx>
            <c:strRef>
              <c:f>'Pivot Analysis'!$L$2:$L$3</c:f>
              <c:strCache>
                <c:ptCount val="1"/>
                <c:pt idx="0">
                  <c:v>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Analysis'!$J$4:$J$8</c:f>
              <c:strCache>
                <c:ptCount val="4"/>
                <c:pt idx="0">
                  <c:v>1</c:v>
                </c:pt>
                <c:pt idx="1">
                  <c:v>2</c:v>
                </c:pt>
                <c:pt idx="2">
                  <c:v>3</c:v>
                </c:pt>
                <c:pt idx="3">
                  <c:v>4</c:v>
                </c:pt>
              </c:strCache>
            </c:strRef>
          </c:cat>
          <c:val>
            <c:numRef>
              <c:f>'Pivot Analysis'!$L$4:$L$8</c:f>
              <c:numCache>
                <c:formatCode>General</c:formatCode>
                <c:ptCount val="4"/>
                <c:pt idx="0">
                  <c:v>47.73021276595744</c:v>
                </c:pt>
                <c:pt idx="1">
                  <c:v>47.582553191489353</c:v>
                </c:pt>
                <c:pt idx="2">
                  <c:v>47.722127659574468</c:v>
                </c:pt>
                <c:pt idx="3">
                  <c:v>46.282765957446799</c:v>
                </c:pt>
              </c:numCache>
            </c:numRef>
          </c:val>
          <c:smooth val="0"/>
          <c:extLst>
            <c:ext xmlns:c16="http://schemas.microsoft.com/office/drawing/2014/chart" uri="{C3380CC4-5D6E-409C-BE32-E72D297353CC}">
              <c16:uniqueId val="{00000001-DFCA-4184-B854-1663C0EFC6EC}"/>
            </c:ext>
          </c:extLst>
        </c:ser>
        <c:ser>
          <c:idx val="2"/>
          <c:order val="2"/>
          <c:tx>
            <c:strRef>
              <c:f>'Pivot Analysis'!$M$2:$M$3</c:f>
              <c:strCache>
                <c:ptCount val="1"/>
                <c:pt idx="0">
                  <c:v>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Analysis'!$J$4:$J$8</c:f>
              <c:strCache>
                <c:ptCount val="4"/>
                <c:pt idx="0">
                  <c:v>1</c:v>
                </c:pt>
                <c:pt idx="1">
                  <c:v>2</c:v>
                </c:pt>
                <c:pt idx="2">
                  <c:v>3</c:v>
                </c:pt>
                <c:pt idx="3">
                  <c:v>4</c:v>
                </c:pt>
              </c:strCache>
            </c:strRef>
          </c:cat>
          <c:val>
            <c:numRef>
              <c:f>'Pivot Analysis'!$M$4:$M$8</c:f>
              <c:numCache>
                <c:formatCode>General</c:formatCode>
                <c:ptCount val="4"/>
                <c:pt idx="0">
                  <c:v>55.776170212765969</c:v>
                </c:pt>
                <c:pt idx="1">
                  <c:v>55.949148936170225</c:v>
                </c:pt>
                <c:pt idx="2">
                  <c:v>54.377872340425519</c:v>
                </c:pt>
                <c:pt idx="3">
                  <c:v>55.354680851063804</c:v>
                </c:pt>
              </c:numCache>
            </c:numRef>
          </c:val>
          <c:smooth val="0"/>
          <c:extLst>
            <c:ext xmlns:c16="http://schemas.microsoft.com/office/drawing/2014/chart" uri="{C3380CC4-5D6E-409C-BE32-E72D297353CC}">
              <c16:uniqueId val="{00000002-DFCA-4184-B854-1663C0EFC6EC}"/>
            </c:ext>
          </c:extLst>
        </c:ser>
        <c:dLbls>
          <c:showLegendKey val="0"/>
          <c:showVal val="0"/>
          <c:showCatName val="0"/>
          <c:showSerName val="0"/>
          <c:showPercent val="0"/>
          <c:showBubbleSize val="0"/>
        </c:dLbls>
        <c:marker val="1"/>
        <c:smooth val="0"/>
        <c:axId val="2065458799"/>
        <c:axId val="1542631343"/>
      </c:lineChart>
      <c:catAx>
        <c:axId val="206545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631343"/>
        <c:crosses val="autoZero"/>
        <c:auto val="1"/>
        <c:lblAlgn val="ctr"/>
        <c:lblOffset val="100"/>
        <c:noMultiLvlLbl val="0"/>
      </c:catAx>
      <c:valAx>
        <c:axId val="154263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45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11430</xdr:rowOff>
    </xdr:from>
    <xdr:to>
      <xdr:col>1</xdr:col>
      <xdr:colOff>1805940</xdr:colOff>
      <xdr:row>18</xdr:row>
      <xdr:rowOff>167640</xdr:rowOff>
    </xdr:to>
    <xdr:graphicFrame macro="">
      <xdr:nvGraphicFramePr>
        <xdr:cNvPr id="2" name="Chart 1">
          <a:extLst>
            <a:ext uri="{FF2B5EF4-FFF2-40B4-BE49-F238E27FC236}">
              <a16:creationId xmlns:a16="http://schemas.microsoft.com/office/drawing/2014/main" id="{267BE204-6A8C-2C7E-FCCD-9933329BC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7</xdr:row>
      <xdr:rowOff>3810</xdr:rowOff>
    </xdr:from>
    <xdr:to>
      <xdr:col>8</xdr:col>
      <xdr:colOff>15240</xdr:colOff>
      <xdr:row>19</xdr:row>
      <xdr:rowOff>0</xdr:rowOff>
    </xdr:to>
    <xdr:graphicFrame macro="">
      <xdr:nvGraphicFramePr>
        <xdr:cNvPr id="5" name="Chart 4">
          <a:extLst>
            <a:ext uri="{FF2B5EF4-FFF2-40B4-BE49-F238E27FC236}">
              <a16:creationId xmlns:a16="http://schemas.microsoft.com/office/drawing/2014/main" id="{AC853D0D-C8DA-F420-432C-41DA53144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8</xdr:row>
      <xdr:rowOff>3810</xdr:rowOff>
    </xdr:from>
    <xdr:to>
      <xdr:col>13</xdr:col>
      <xdr:colOff>815340</xdr:colOff>
      <xdr:row>19</xdr:row>
      <xdr:rowOff>22860</xdr:rowOff>
    </xdr:to>
    <xdr:graphicFrame macro="">
      <xdr:nvGraphicFramePr>
        <xdr:cNvPr id="6" name="Chart 5">
          <a:extLst>
            <a:ext uri="{FF2B5EF4-FFF2-40B4-BE49-F238E27FC236}">
              <a16:creationId xmlns:a16="http://schemas.microsoft.com/office/drawing/2014/main" id="{DFE48593-B67F-D72F-F7A0-C4D02C3C8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167640</xdr:rowOff>
    </xdr:from>
    <xdr:to>
      <xdr:col>3</xdr:col>
      <xdr:colOff>594360</xdr:colOff>
      <xdr:row>25</xdr:row>
      <xdr:rowOff>167640</xdr:rowOff>
    </xdr:to>
    <xdr:graphicFrame macro="">
      <xdr:nvGraphicFramePr>
        <xdr:cNvPr id="2" name="Chart 1">
          <a:extLst>
            <a:ext uri="{FF2B5EF4-FFF2-40B4-BE49-F238E27FC236}">
              <a16:creationId xmlns:a16="http://schemas.microsoft.com/office/drawing/2014/main" id="{57290368-B911-4557-9911-DD834D7FF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601980</xdr:colOff>
      <xdr:row>13</xdr:row>
      <xdr:rowOff>7620</xdr:rowOff>
    </xdr:from>
    <xdr:to>
      <xdr:col>11</xdr:col>
      <xdr:colOff>601980</xdr:colOff>
      <xdr:row>25</xdr:row>
      <xdr:rowOff>167640</xdr:rowOff>
    </xdr:to>
    <xdr:graphicFrame macro="">
      <xdr:nvGraphicFramePr>
        <xdr:cNvPr id="3" name="Chart 2">
          <a:extLst>
            <a:ext uri="{FF2B5EF4-FFF2-40B4-BE49-F238E27FC236}">
              <a16:creationId xmlns:a16="http://schemas.microsoft.com/office/drawing/2014/main" id="{70948672-5106-45E3-951D-97E3587AE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8</xdr:col>
      <xdr:colOff>7620</xdr:colOff>
      <xdr:row>12</xdr:row>
      <xdr:rowOff>175260</xdr:rowOff>
    </xdr:to>
    <xdr:graphicFrame macro="">
      <xdr:nvGraphicFramePr>
        <xdr:cNvPr id="4" name="Chart 3">
          <a:extLst>
            <a:ext uri="{FF2B5EF4-FFF2-40B4-BE49-F238E27FC236}">
              <a16:creationId xmlns:a16="http://schemas.microsoft.com/office/drawing/2014/main" id="{556A9E09-F86C-4D92-BFB1-DE62A6FCC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15240</xdr:colOff>
      <xdr:row>0</xdr:row>
      <xdr:rowOff>0</xdr:rowOff>
    </xdr:from>
    <xdr:to>
      <xdr:col>12</xdr:col>
      <xdr:colOff>15240</xdr:colOff>
      <xdr:row>6</xdr:row>
      <xdr:rowOff>91440</xdr:rowOff>
    </xdr:to>
    <mc:AlternateContent xmlns:mc="http://schemas.openxmlformats.org/markup-compatibility/2006">
      <mc:Choice xmlns:a14="http://schemas.microsoft.com/office/drawing/2010/main" Requires="a14">
        <xdr:graphicFrame macro="">
          <xdr:nvGraphicFramePr>
            <xdr:cNvPr id="5" name="MarketSize">
              <a:extLst>
                <a:ext uri="{FF2B5EF4-FFF2-40B4-BE49-F238E27FC236}">
                  <a16:creationId xmlns:a16="http://schemas.microsoft.com/office/drawing/2014/main" id="{D8F10CF1-BEDF-A3A5-B159-675E8D7726EC}"/>
                </a:ext>
              </a:extLst>
            </xdr:cNvPr>
            <xdr:cNvGraphicFramePr/>
          </xdr:nvGraphicFramePr>
          <xdr:xfrm>
            <a:off x="0" y="0"/>
            <a:ext cx="0" cy="0"/>
          </xdr:xfrm>
          <a:graphic>
            <a:graphicData uri="http://schemas.microsoft.com/office/drawing/2010/slicer">
              <sle:slicer xmlns:sle="http://schemas.microsoft.com/office/drawing/2010/slicer" name="MarketSize"/>
            </a:graphicData>
          </a:graphic>
        </xdr:graphicFrame>
      </mc:Choice>
      <mc:Fallback>
        <xdr:sp macro="" textlink="">
          <xdr:nvSpPr>
            <xdr:cNvPr id="0" name=""/>
            <xdr:cNvSpPr>
              <a:spLocks noTextEdit="1"/>
            </xdr:cNvSpPr>
          </xdr:nvSpPr>
          <xdr:spPr>
            <a:xfrm>
              <a:off x="4892040" y="0"/>
              <a:ext cx="24384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xdr:colOff>
      <xdr:row>6</xdr:row>
      <xdr:rowOff>83821</xdr:rowOff>
    </xdr:from>
    <xdr:to>
      <xdr:col>12</xdr:col>
      <xdr:colOff>15240</xdr:colOff>
      <xdr:row>13</xdr:row>
      <xdr:rowOff>7621</xdr:rowOff>
    </xdr:to>
    <mc:AlternateContent xmlns:mc="http://schemas.openxmlformats.org/markup-compatibility/2006">
      <mc:Choice xmlns:a14="http://schemas.microsoft.com/office/drawing/2010/main" Requires="a14">
        <xdr:graphicFrame macro="">
          <xdr:nvGraphicFramePr>
            <xdr:cNvPr id="6" name="Promotion">
              <a:extLst>
                <a:ext uri="{FF2B5EF4-FFF2-40B4-BE49-F238E27FC236}">
                  <a16:creationId xmlns:a16="http://schemas.microsoft.com/office/drawing/2014/main" id="{38F89AEF-9465-7581-10B8-F7E080FA2AE2}"/>
                </a:ext>
              </a:extLst>
            </xdr:cNvPr>
            <xdr:cNvGraphicFramePr/>
          </xdr:nvGraphicFramePr>
          <xdr:xfrm>
            <a:off x="0" y="0"/>
            <a:ext cx="0" cy="0"/>
          </xdr:xfrm>
          <a:graphic>
            <a:graphicData uri="http://schemas.microsoft.com/office/drawing/2010/slicer">
              <sle:slicer xmlns:sle="http://schemas.microsoft.com/office/drawing/2010/slicer" name="Promotion"/>
            </a:graphicData>
          </a:graphic>
        </xdr:graphicFrame>
      </mc:Choice>
      <mc:Fallback>
        <xdr:sp macro="" textlink="">
          <xdr:nvSpPr>
            <xdr:cNvPr id="0" name=""/>
            <xdr:cNvSpPr>
              <a:spLocks noTextEdit="1"/>
            </xdr:cNvSpPr>
          </xdr:nvSpPr>
          <xdr:spPr>
            <a:xfrm>
              <a:off x="4892040" y="1181101"/>
              <a:ext cx="2438400" cy="1203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TAMER" refreshedDate="46287.910572222223" createdVersion="8" refreshedVersion="8" minRefreshableVersion="3" recordCount="548" xr:uid="{6B3466C3-AB8A-4272-81B2-67B763DDDE49}">
  <cacheSource type="worksheet">
    <worksheetSource ref="A1:G549" sheet="Cleaned Data"/>
  </cacheSource>
  <cacheFields count="7">
    <cacheField name="MarketID" numFmtId="0">
      <sharedItems containsSemiMixedTypes="0" containsString="0" containsNumber="1" containsInteger="1" minValue="1" maxValue="10"/>
    </cacheField>
    <cacheField name="MarketSize" numFmtId="0">
      <sharedItems count="3">
        <s v="Medium"/>
        <s v="Small"/>
        <s v="Large"/>
      </sharedItems>
    </cacheField>
    <cacheField name="LocationID" numFmtId="0">
      <sharedItems containsSemiMixedTypes="0" containsString="0" containsNumber="1" containsInteger="1" minValue="1" maxValue="920" count="137">
        <n v="1"/>
        <n v="2"/>
        <n v="3"/>
        <n v="4"/>
        <n v="5"/>
        <n v="6"/>
        <n v="7"/>
        <n v="8"/>
        <n v="9"/>
        <n v="10"/>
        <n v="11"/>
        <n v="12"/>
        <n v="13"/>
        <n v="101"/>
        <n v="102"/>
        <n v="103"/>
        <n v="104"/>
        <n v="105"/>
        <n v="106"/>
        <n v="201"/>
        <n v="202"/>
        <n v="203"/>
        <n v="204"/>
        <n v="205"/>
        <n v="206"/>
        <n v="207"/>
        <n v="208"/>
        <n v="209"/>
        <n v="210"/>
        <n v="211"/>
        <n v="212"/>
        <n v="213"/>
        <n v="214"/>
        <n v="215"/>
        <n v="216"/>
        <n v="217"/>
        <n v="218"/>
        <n v="219"/>
        <n v="220"/>
        <n v="221"/>
        <n v="222"/>
        <n v="301"/>
        <n v="302"/>
        <n v="303"/>
        <n v="304"/>
        <n v="305"/>
        <n v="306"/>
        <n v="307"/>
        <n v="308"/>
        <n v="309"/>
        <n v="401"/>
        <n v="402"/>
        <n v="403"/>
        <n v="404"/>
        <n v="405"/>
        <n v="406"/>
        <n v="407"/>
        <n v="408"/>
        <n v="409"/>
        <n v="410"/>
        <n v="411"/>
        <n v="412"/>
        <n v="413"/>
        <n v="414"/>
        <n v="415"/>
        <n v="501"/>
        <n v="502"/>
        <n v="503"/>
        <n v="504"/>
        <n v="505"/>
        <n v="506"/>
        <n v="507"/>
        <n v="508"/>
        <n v="509"/>
        <n v="510"/>
        <n v="511"/>
        <n v="512"/>
        <n v="513"/>
        <n v="514"/>
        <n v="515"/>
        <n v="601"/>
        <n v="602"/>
        <n v="603"/>
        <n v="604"/>
        <n v="605"/>
        <n v="606"/>
        <n v="607"/>
        <n v="608"/>
        <n v="609"/>
        <n v="610"/>
        <n v="611"/>
        <n v="612"/>
        <n v="613"/>
        <n v="614"/>
        <n v="615"/>
        <n v="701"/>
        <n v="702"/>
        <n v="703"/>
        <n v="704"/>
        <n v="705"/>
        <n v="706"/>
        <n v="707"/>
        <n v="708"/>
        <n v="709"/>
        <n v="710"/>
        <n v="711"/>
        <n v="712"/>
        <n v="801"/>
        <n v="802"/>
        <n v="803"/>
        <n v="804"/>
        <n v="805"/>
        <n v="806"/>
        <n v="807"/>
        <n v="808"/>
        <n v="809"/>
        <n v="810"/>
        <n v="901"/>
        <n v="902"/>
        <n v="903"/>
        <n v="904"/>
        <n v="905"/>
        <n v="906"/>
        <n v="907"/>
        <n v="908"/>
        <n v="909"/>
        <n v="910"/>
        <n v="911"/>
        <n v="912"/>
        <n v="913"/>
        <n v="914"/>
        <n v="915"/>
        <n v="916"/>
        <n v="917"/>
        <n v="918"/>
        <n v="919"/>
        <n v="920"/>
      </sharedItems>
    </cacheField>
    <cacheField name="AgeOfStore" numFmtId="0">
      <sharedItems containsSemiMixedTypes="0" containsString="0" containsNumber="1" containsInteger="1" minValue="1" maxValue="28" count="25">
        <n v="4"/>
        <n v="5"/>
        <n v="12"/>
        <n v="1"/>
        <n v="10"/>
        <n v="15"/>
        <n v="6"/>
        <n v="22"/>
        <n v="8"/>
        <n v="19"/>
        <n v="11"/>
        <n v="13"/>
        <n v="3"/>
        <n v="7"/>
        <n v="2"/>
        <n v="23"/>
        <n v="9"/>
        <n v="28"/>
        <n v="25"/>
        <n v="14"/>
        <n v="24"/>
        <n v="18"/>
        <n v="27"/>
        <n v="17"/>
        <n v="20"/>
      </sharedItems>
      <fieldGroup base="3">
        <rangePr autoStart="0" startNum="1" endNum="28" groupInterval="4"/>
        <groupItems count="9">
          <s v="&lt;1"/>
          <s v="1-4"/>
          <s v="5-8"/>
          <s v="9-12"/>
          <s v="13-16"/>
          <s v="17-20"/>
          <s v="21-24"/>
          <s v="25-28"/>
          <s v="&gt;29"/>
        </groupItems>
      </fieldGroup>
    </cacheField>
    <cacheField name="Promotion" numFmtId="0">
      <sharedItems containsSemiMixedTypes="0" containsString="0" containsNumber="1" containsInteger="1" minValue="1" maxValue="3" count="3">
        <n v="3"/>
        <n v="2"/>
        <n v="1"/>
      </sharedItems>
    </cacheField>
    <cacheField name="week" numFmtId="0">
      <sharedItems containsSemiMixedTypes="0" containsString="0" containsNumber="1" containsInteger="1" minValue="1" maxValue="4" count="4">
        <n v="1"/>
        <n v="2"/>
        <n v="3"/>
        <n v="4"/>
      </sharedItems>
    </cacheField>
    <cacheField name="SalesInThousands" numFmtId="0">
      <sharedItems containsSemiMixedTypes="0" containsString="0" containsNumber="1" minValue="17.34" maxValue="99.65"/>
    </cacheField>
  </cacheFields>
  <extLst>
    <ext xmlns:x14="http://schemas.microsoft.com/office/spreadsheetml/2009/9/main" uri="{725AE2AE-9491-48be-B2B4-4EB974FC3084}">
      <x14:pivotCacheDefinition pivotCacheId="1431705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8">
  <r>
    <n v="1"/>
    <x v="0"/>
    <x v="0"/>
    <x v="0"/>
    <x v="0"/>
    <x v="0"/>
    <n v="33.729999999999997"/>
  </r>
  <r>
    <n v="1"/>
    <x v="0"/>
    <x v="0"/>
    <x v="0"/>
    <x v="0"/>
    <x v="1"/>
    <n v="35.67"/>
  </r>
  <r>
    <n v="1"/>
    <x v="0"/>
    <x v="0"/>
    <x v="0"/>
    <x v="0"/>
    <x v="2"/>
    <n v="29.03"/>
  </r>
  <r>
    <n v="1"/>
    <x v="0"/>
    <x v="0"/>
    <x v="0"/>
    <x v="0"/>
    <x v="3"/>
    <n v="39.25"/>
  </r>
  <r>
    <n v="1"/>
    <x v="0"/>
    <x v="1"/>
    <x v="1"/>
    <x v="1"/>
    <x v="0"/>
    <n v="27.81"/>
  </r>
  <r>
    <n v="1"/>
    <x v="0"/>
    <x v="1"/>
    <x v="1"/>
    <x v="1"/>
    <x v="1"/>
    <n v="34.67"/>
  </r>
  <r>
    <n v="1"/>
    <x v="0"/>
    <x v="1"/>
    <x v="1"/>
    <x v="1"/>
    <x v="2"/>
    <n v="27.98"/>
  </r>
  <r>
    <n v="1"/>
    <x v="0"/>
    <x v="1"/>
    <x v="1"/>
    <x v="1"/>
    <x v="3"/>
    <n v="27.72"/>
  </r>
  <r>
    <n v="1"/>
    <x v="0"/>
    <x v="2"/>
    <x v="2"/>
    <x v="2"/>
    <x v="0"/>
    <n v="44.54"/>
  </r>
  <r>
    <n v="1"/>
    <x v="0"/>
    <x v="2"/>
    <x v="2"/>
    <x v="2"/>
    <x v="1"/>
    <n v="37.94"/>
  </r>
  <r>
    <n v="1"/>
    <x v="0"/>
    <x v="2"/>
    <x v="2"/>
    <x v="2"/>
    <x v="2"/>
    <n v="45.49"/>
  </r>
  <r>
    <n v="1"/>
    <x v="0"/>
    <x v="2"/>
    <x v="2"/>
    <x v="2"/>
    <x v="3"/>
    <n v="34.75"/>
  </r>
  <r>
    <n v="1"/>
    <x v="0"/>
    <x v="3"/>
    <x v="3"/>
    <x v="1"/>
    <x v="0"/>
    <n v="39.28"/>
  </r>
  <r>
    <n v="1"/>
    <x v="0"/>
    <x v="3"/>
    <x v="3"/>
    <x v="1"/>
    <x v="1"/>
    <n v="39.799999999999997"/>
  </r>
  <r>
    <n v="1"/>
    <x v="0"/>
    <x v="3"/>
    <x v="3"/>
    <x v="1"/>
    <x v="2"/>
    <n v="24.77"/>
  </r>
  <r>
    <n v="1"/>
    <x v="0"/>
    <x v="3"/>
    <x v="3"/>
    <x v="1"/>
    <x v="3"/>
    <n v="30.98"/>
  </r>
  <r>
    <n v="1"/>
    <x v="0"/>
    <x v="4"/>
    <x v="4"/>
    <x v="1"/>
    <x v="0"/>
    <n v="30.37"/>
  </r>
  <r>
    <n v="1"/>
    <x v="0"/>
    <x v="4"/>
    <x v="4"/>
    <x v="1"/>
    <x v="1"/>
    <n v="24.82"/>
  </r>
  <r>
    <n v="1"/>
    <x v="0"/>
    <x v="4"/>
    <x v="4"/>
    <x v="1"/>
    <x v="2"/>
    <n v="37.47"/>
  </r>
  <r>
    <n v="1"/>
    <x v="0"/>
    <x v="4"/>
    <x v="4"/>
    <x v="1"/>
    <x v="3"/>
    <n v="23.35"/>
  </r>
  <r>
    <n v="1"/>
    <x v="0"/>
    <x v="5"/>
    <x v="4"/>
    <x v="0"/>
    <x v="0"/>
    <n v="32.9"/>
  </r>
  <r>
    <n v="1"/>
    <x v="0"/>
    <x v="5"/>
    <x v="4"/>
    <x v="0"/>
    <x v="1"/>
    <n v="22.18"/>
  </r>
  <r>
    <n v="1"/>
    <x v="0"/>
    <x v="5"/>
    <x v="4"/>
    <x v="0"/>
    <x v="2"/>
    <n v="42.98"/>
  </r>
  <r>
    <n v="1"/>
    <x v="0"/>
    <x v="5"/>
    <x v="4"/>
    <x v="0"/>
    <x v="3"/>
    <n v="26.68"/>
  </r>
  <r>
    <n v="1"/>
    <x v="0"/>
    <x v="6"/>
    <x v="5"/>
    <x v="2"/>
    <x v="0"/>
    <n v="42.92"/>
  </r>
  <r>
    <n v="1"/>
    <x v="0"/>
    <x v="6"/>
    <x v="5"/>
    <x v="2"/>
    <x v="1"/>
    <n v="42.16"/>
  </r>
  <r>
    <n v="1"/>
    <x v="0"/>
    <x v="6"/>
    <x v="5"/>
    <x v="2"/>
    <x v="2"/>
    <n v="51.72"/>
  </r>
  <r>
    <n v="1"/>
    <x v="0"/>
    <x v="6"/>
    <x v="5"/>
    <x v="2"/>
    <x v="3"/>
    <n v="36.17"/>
  </r>
  <r>
    <n v="1"/>
    <x v="0"/>
    <x v="7"/>
    <x v="4"/>
    <x v="1"/>
    <x v="0"/>
    <n v="30.08"/>
  </r>
  <r>
    <n v="1"/>
    <x v="0"/>
    <x v="7"/>
    <x v="4"/>
    <x v="1"/>
    <x v="1"/>
    <n v="28.62"/>
  </r>
  <r>
    <n v="1"/>
    <x v="0"/>
    <x v="7"/>
    <x v="4"/>
    <x v="1"/>
    <x v="2"/>
    <n v="25.4"/>
  </r>
  <r>
    <n v="1"/>
    <x v="0"/>
    <x v="7"/>
    <x v="4"/>
    <x v="1"/>
    <x v="3"/>
    <n v="27.26"/>
  </r>
  <r>
    <n v="1"/>
    <x v="0"/>
    <x v="8"/>
    <x v="6"/>
    <x v="2"/>
    <x v="0"/>
    <n v="37.409999999999997"/>
  </r>
  <r>
    <n v="1"/>
    <x v="0"/>
    <x v="8"/>
    <x v="6"/>
    <x v="2"/>
    <x v="1"/>
    <n v="38.64"/>
  </r>
  <r>
    <n v="1"/>
    <x v="0"/>
    <x v="8"/>
    <x v="6"/>
    <x v="2"/>
    <x v="2"/>
    <n v="40.9"/>
  </r>
  <r>
    <n v="1"/>
    <x v="0"/>
    <x v="8"/>
    <x v="6"/>
    <x v="2"/>
    <x v="3"/>
    <n v="41.11"/>
  </r>
  <r>
    <n v="1"/>
    <x v="0"/>
    <x v="9"/>
    <x v="1"/>
    <x v="1"/>
    <x v="0"/>
    <n v="34.270000000000003"/>
  </r>
  <r>
    <n v="1"/>
    <x v="0"/>
    <x v="9"/>
    <x v="1"/>
    <x v="1"/>
    <x v="1"/>
    <n v="29.3"/>
  </r>
  <r>
    <n v="1"/>
    <x v="0"/>
    <x v="9"/>
    <x v="1"/>
    <x v="1"/>
    <x v="2"/>
    <n v="23.93"/>
  </r>
  <r>
    <n v="1"/>
    <x v="0"/>
    <x v="9"/>
    <x v="1"/>
    <x v="1"/>
    <x v="3"/>
    <n v="35.159999999999997"/>
  </r>
  <r>
    <n v="1"/>
    <x v="0"/>
    <x v="10"/>
    <x v="1"/>
    <x v="0"/>
    <x v="0"/>
    <n v="33.42"/>
  </r>
  <r>
    <n v="1"/>
    <x v="0"/>
    <x v="10"/>
    <x v="1"/>
    <x v="0"/>
    <x v="1"/>
    <n v="37.93"/>
  </r>
  <r>
    <n v="1"/>
    <x v="0"/>
    <x v="10"/>
    <x v="1"/>
    <x v="0"/>
    <x v="2"/>
    <n v="33.85"/>
  </r>
  <r>
    <n v="1"/>
    <x v="0"/>
    <x v="10"/>
    <x v="1"/>
    <x v="0"/>
    <x v="3"/>
    <n v="40.25"/>
  </r>
  <r>
    <n v="1"/>
    <x v="0"/>
    <x v="11"/>
    <x v="2"/>
    <x v="2"/>
    <x v="0"/>
    <n v="35.85"/>
  </r>
  <r>
    <n v="1"/>
    <x v="0"/>
    <x v="11"/>
    <x v="2"/>
    <x v="2"/>
    <x v="1"/>
    <n v="36.24"/>
  </r>
  <r>
    <n v="1"/>
    <x v="0"/>
    <x v="11"/>
    <x v="2"/>
    <x v="2"/>
    <x v="2"/>
    <n v="41.73"/>
  </r>
  <r>
    <n v="1"/>
    <x v="0"/>
    <x v="11"/>
    <x v="2"/>
    <x v="2"/>
    <x v="3"/>
    <n v="37.32"/>
  </r>
  <r>
    <n v="1"/>
    <x v="0"/>
    <x v="12"/>
    <x v="2"/>
    <x v="2"/>
    <x v="0"/>
    <n v="50.48"/>
  </r>
  <r>
    <n v="1"/>
    <x v="0"/>
    <x v="12"/>
    <x v="2"/>
    <x v="2"/>
    <x v="1"/>
    <n v="36.880000000000003"/>
  </r>
  <r>
    <n v="1"/>
    <x v="0"/>
    <x v="12"/>
    <x v="2"/>
    <x v="2"/>
    <x v="2"/>
    <n v="35.68"/>
  </r>
  <r>
    <n v="1"/>
    <x v="0"/>
    <x v="12"/>
    <x v="2"/>
    <x v="2"/>
    <x v="3"/>
    <n v="46.45"/>
  </r>
  <r>
    <n v="2"/>
    <x v="1"/>
    <x v="13"/>
    <x v="7"/>
    <x v="2"/>
    <x v="0"/>
    <n v="67.48"/>
  </r>
  <r>
    <n v="2"/>
    <x v="1"/>
    <x v="13"/>
    <x v="7"/>
    <x v="2"/>
    <x v="1"/>
    <n v="65.569999999999993"/>
  </r>
  <r>
    <n v="2"/>
    <x v="1"/>
    <x v="13"/>
    <x v="7"/>
    <x v="2"/>
    <x v="2"/>
    <n v="68.42"/>
  </r>
  <r>
    <n v="2"/>
    <x v="1"/>
    <x v="13"/>
    <x v="7"/>
    <x v="2"/>
    <x v="3"/>
    <n v="60.93"/>
  </r>
  <r>
    <n v="2"/>
    <x v="1"/>
    <x v="14"/>
    <x v="8"/>
    <x v="0"/>
    <x v="0"/>
    <n v="61.59"/>
  </r>
  <r>
    <n v="2"/>
    <x v="1"/>
    <x v="14"/>
    <x v="8"/>
    <x v="0"/>
    <x v="1"/>
    <n v="63.64"/>
  </r>
  <r>
    <n v="2"/>
    <x v="1"/>
    <x v="14"/>
    <x v="8"/>
    <x v="0"/>
    <x v="2"/>
    <n v="54.68"/>
  </r>
  <r>
    <n v="2"/>
    <x v="1"/>
    <x v="14"/>
    <x v="8"/>
    <x v="0"/>
    <x v="3"/>
    <n v="61.24"/>
  </r>
  <r>
    <n v="2"/>
    <x v="1"/>
    <x v="15"/>
    <x v="7"/>
    <x v="0"/>
    <x v="0"/>
    <n v="62.93"/>
  </r>
  <r>
    <n v="2"/>
    <x v="1"/>
    <x v="15"/>
    <x v="7"/>
    <x v="0"/>
    <x v="1"/>
    <n v="58.77"/>
  </r>
  <r>
    <n v="2"/>
    <x v="1"/>
    <x v="15"/>
    <x v="7"/>
    <x v="0"/>
    <x v="2"/>
    <n v="70.599999999999994"/>
  </r>
  <r>
    <n v="2"/>
    <x v="1"/>
    <x v="15"/>
    <x v="7"/>
    <x v="0"/>
    <x v="3"/>
    <n v="65.06"/>
  </r>
  <r>
    <n v="2"/>
    <x v="1"/>
    <x v="16"/>
    <x v="9"/>
    <x v="0"/>
    <x v="0"/>
    <n v="59.76"/>
  </r>
  <r>
    <n v="2"/>
    <x v="1"/>
    <x v="16"/>
    <x v="9"/>
    <x v="0"/>
    <x v="1"/>
    <n v="66.11"/>
  </r>
  <r>
    <n v="2"/>
    <x v="1"/>
    <x v="16"/>
    <x v="9"/>
    <x v="0"/>
    <x v="2"/>
    <n v="62.16"/>
  </r>
  <r>
    <n v="2"/>
    <x v="1"/>
    <x v="16"/>
    <x v="9"/>
    <x v="0"/>
    <x v="3"/>
    <n v="64.040000000000006"/>
  </r>
  <r>
    <n v="2"/>
    <x v="1"/>
    <x v="17"/>
    <x v="8"/>
    <x v="0"/>
    <x v="0"/>
    <n v="59.65"/>
  </r>
  <r>
    <n v="2"/>
    <x v="1"/>
    <x v="17"/>
    <x v="8"/>
    <x v="0"/>
    <x v="1"/>
    <n v="57.04"/>
  </r>
  <r>
    <n v="2"/>
    <x v="1"/>
    <x v="17"/>
    <x v="8"/>
    <x v="0"/>
    <x v="2"/>
    <n v="59.73"/>
  </r>
  <r>
    <n v="2"/>
    <x v="1"/>
    <x v="17"/>
    <x v="8"/>
    <x v="0"/>
    <x v="3"/>
    <n v="56.72"/>
  </r>
  <r>
    <n v="2"/>
    <x v="1"/>
    <x v="18"/>
    <x v="1"/>
    <x v="0"/>
    <x v="0"/>
    <n v="58.55"/>
  </r>
  <r>
    <n v="2"/>
    <x v="1"/>
    <x v="18"/>
    <x v="1"/>
    <x v="0"/>
    <x v="1"/>
    <n v="62.19"/>
  </r>
  <r>
    <n v="2"/>
    <x v="1"/>
    <x v="18"/>
    <x v="1"/>
    <x v="0"/>
    <x v="2"/>
    <n v="53.14"/>
  </r>
  <r>
    <n v="2"/>
    <x v="1"/>
    <x v="18"/>
    <x v="1"/>
    <x v="0"/>
    <x v="3"/>
    <n v="62.27"/>
  </r>
  <r>
    <n v="3"/>
    <x v="2"/>
    <x v="19"/>
    <x v="0"/>
    <x v="0"/>
    <x v="0"/>
    <n v="86.14"/>
  </r>
  <r>
    <n v="3"/>
    <x v="2"/>
    <x v="19"/>
    <x v="0"/>
    <x v="0"/>
    <x v="1"/>
    <n v="82.56"/>
  </r>
  <r>
    <n v="3"/>
    <x v="2"/>
    <x v="19"/>
    <x v="0"/>
    <x v="0"/>
    <x v="2"/>
    <n v="79.36"/>
  </r>
  <r>
    <n v="3"/>
    <x v="2"/>
    <x v="19"/>
    <x v="0"/>
    <x v="0"/>
    <x v="3"/>
    <n v="77.17"/>
  </r>
  <r>
    <n v="3"/>
    <x v="2"/>
    <x v="20"/>
    <x v="8"/>
    <x v="2"/>
    <x v="0"/>
    <n v="88.73"/>
  </r>
  <r>
    <n v="3"/>
    <x v="2"/>
    <x v="20"/>
    <x v="8"/>
    <x v="2"/>
    <x v="1"/>
    <n v="85.21"/>
  </r>
  <r>
    <n v="3"/>
    <x v="2"/>
    <x v="20"/>
    <x v="8"/>
    <x v="2"/>
    <x v="2"/>
    <n v="81.55"/>
  </r>
  <r>
    <n v="3"/>
    <x v="2"/>
    <x v="20"/>
    <x v="8"/>
    <x v="2"/>
    <x v="3"/>
    <n v="94.17"/>
  </r>
  <r>
    <n v="3"/>
    <x v="2"/>
    <x v="21"/>
    <x v="2"/>
    <x v="0"/>
    <x v="0"/>
    <n v="89.7"/>
  </r>
  <r>
    <n v="3"/>
    <x v="2"/>
    <x v="21"/>
    <x v="2"/>
    <x v="0"/>
    <x v="1"/>
    <n v="78.430000000000007"/>
  </r>
  <r>
    <n v="3"/>
    <x v="2"/>
    <x v="21"/>
    <x v="2"/>
    <x v="0"/>
    <x v="2"/>
    <n v="84.05"/>
  </r>
  <r>
    <n v="3"/>
    <x v="2"/>
    <x v="21"/>
    <x v="2"/>
    <x v="0"/>
    <x v="3"/>
    <n v="81.180000000000007"/>
  </r>
  <r>
    <n v="3"/>
    <x v="2"/>
    <x v="22"/>
    <x v="3"/>
    <x v="1"/>
    <x v="0"/>
    <n v="87.43"/>
  </r>
  <r>
    <n v="3"/>
    <x v="2"/>
    <x v="22"/>
    <x v="3"/>
    <x v="1"/>
    <x v="1"/>
    <n v="81.790000000000006"/>
  </r>
  <r>
    <n v="3"/>
    <x v="2"/>
    <x v="22"/>
    <x v="3"/>
    <x v="1"/>
    <x v="2"/>
    <n v="88.12"/>
  </r>
  <r>
    <n v="3"/>
    <x v="2"/>
    <x v="22"/>
    <x v="3"/>
    <x v="1"/>
    <x v="3"/>
    <n v="75.290000000000006"/>
  </r>
  <r>
    <n v="3"/>
    <x v="2"/>
    <x v="23"/>
    <x v="9"/>
    <x v="0"/>
    <x v="0"/>
    <n v="83.02"/>
  </r>
  <r>
    <n v="3"/>
    <x v="2"/>
    <x v="23"/>
    <x v="9"/>
    <x v="0"/>
    <x v="1"/>
    <n v="90.3"/>
  </r>
  <r>
    <n v="3"/>
    <x v="2"/>
    <x v="23"/>
    <x v="9"/>
    <x v="0"/>
    <x v="2"/>
    <n v="85.18"/>
  </r>
  <r>
    <n v="3"/>
    <x v="2"/>
    <x v="23"/>
    <x v="9"/>
    <x v="0"/>
    <x v="3"/>
    <n v="89.77"/>
  </r>
  <r>
    <n v="3"/>
    <x v="2"/>
    <x v="24"/>
    <x v="10"/>
    <x v="0"/>
    <x v="0"/>
    <n v="82.64"/>
  </r>
  <r>
    <n v="3"/>
    <x v="2"/>
    <x v="24"/>
    <x v="10"/>
    <x v="0"/>
    <x v="1"/>
    <n v="82.89"/>
  </r>
  <r>
    <n v="3"/>
    <x v="2"/>
    <x v="24"/>
    <x v="10"/>
    <x v="0"/>
    <x v="2"/>
    <n v="82.13"/>
  </r>
  <r>
    <n v="3"/>
    <x v="2"/>
    <x v="24"/>
    <x v="10"/>
    <x v="0"/>
    <x v="3"/>
    <n v="88.91"/>
  </r>
  <r>
    <n v="3"/>
    <x v="2"/>
    <x v="25"/>
    <x v="3"/>
    <x v="0"/>
    <x v="0"/>
    <n v="87.7"/>
  </r>
  <r>
    <n v="3"/>
    <x v="2"/>
    <x v="25"/>
    <x v="3"/>
    <x v="0"/>
    <x v="1"/>
    <n v="81.16"/>
  </r>
  <r>
    <n v="3"/>
    <x v="2"/>
    <x v="25"/>
    <x v="3"/>
    <x v="0"/>
    <x v="2"/>
    <n v="81.58"/>
  </r>
  <r>
    <n v="3"/>
    <x v="2"/>
    <x v="25"/>
    <x v="3"/>
    <x v="0"/>
    <x v="3"/>
    <n v="94.21"/>
  </r>
  <r>
    <n v="3"/>
    <x v="2"/>
    <x v="26"/>
    <x v="3"/>
    <x v="0"/>
    <x v="0"/>
    <n v="96.48"/>
  </r>
  <r>
    <n v="3"/>
    <x v="2"/>
    <x v="26"/>
    <x v="3"/>
    <x v="0"/>
    <x v="1"/>
    <n v="84.13"/>
  </r>
  <r>
    <n v="3"/>
    <x v="2"/>
    <x v="26"/>
    <x v="3"/>
    <x v="0"/>
    <x v="2"/>
    <n v="91.98"/>
  </r>
  <r>
    <n v="3"/>
    <x v="2"/>
    <x v="26"/>
    <x v="3"/>
    <x v="0"/>
    <x v="3"/>
    <n v="81.72"/>
  </r>
  <r>
    <n v="3"/>
    <x v="2"/>
    <x v="27"/>
    <x v="3"/>
    <x v="2"/>
    <x v="0"/>
    <n v="93.71"/>
  </r>
  <r>
    <n v="3"/>
    <x v="2"/>
    <x v="27"/>
    <x v="3"/>
    <x v="2"/>
    <x v="1"/>
    <n v="96.01"/>
  </r>
  <r>
    <n v="3"/>
    <x v="2"/>
    <x v="27"/>
    <x v="3"/>
    <x v="2"/>
    <x v="2"/>
    <n v="93.03"/>
  </r>
  <r>
    <n v="3"/>
    <x v="2"/>
    <x v="27"/>
    <x v="3"/>
    <x v="2"/>
    <x v="3"/>
    <n v="97.61"/>
  </r>
  <r>
    <n v="3"/>
    <x v="2"/>
    <x v="28"/>
    <x v="9"/>
    <x v="2"/>
    <x v="0"/>
    <n v="85.11"/>
  </r>
  <r>
    <n v="3"/>
    <x v="2"/>
    <x v="28"/>
    <x v="9"/>
    <x v="2"/>
    <x v="1"/>
    <n v="88.07"/>
  </r>
  <r>
    <n v="3"/>
    <x v="2"/>
    <x v="28"/>
    <x v="9"/>
    <x v="2"/>
    <x v="2"/>
    <n v="94.43"/>
  </r>
  <r>
    <n v="3"/>
    <x v="2"/>
    <x v="28"/>
    <x v="9"/>
    <x v="2"/>
    <x v="3"/>
    <n v="89.44"/>
  </r>
  <r>
    <n v="3"/>
    <x v="2"/>
    <x v="29"/>
    <x v="11"/>
    <x v="1"/>
    <x v="0"/>
    <n v="88.64"/>
  </r>
  <r>
    <n v="3"/>
    <x v="2"/>
    <x v="29"/>
    <x v="11"/>
    <x v="1"/>
    <x v="1"/>
    <n v="81.37"/>
  </r>
  <r>
    <n v="3"/>
    <x v="2"/>
    <x v="29"/>
    <x v="11"/>
    <x v="1"/>
    <x v="2"/>
    <n v="82.14"/>
  </r>
  <r>
    <n v="3"/>
    <x v="2"/>
    <x v="29"/>
    <x v="11"/>
    <x v="1"/>
    <x v="3"/>
    <n v="79.64"/>
  </r>
  <r>
    <n v="3"/>
    <x v="2"/>
    <x v="30"/>
    <x v="12"/>
    <x v="0"/>
    <x v="0"/>
    <n v="84.34"/>
  </r>
  <r>
    <n v="3"/>
    <x v="2"/>
    <x v="30"/>
    <x v="12"/>
    <x v="0"/>
    <x v="1"/>
    <n v="87.9"/>
  </r>
  <r>
    <n v="3"/>
    <x v="2"/>
    <x v="30"/>
    <x v="12"/>
    <x v="0"/>
    <x v="2"/>
    <n v="76.12"/>
  </r>
  <r>
    <n v="3"/>
    <x v="2"/>
    <x v="30"/>
    <x v="12"/>
    <x v="0"/>
    <x v="3"/>
    <n v="82.72"/>
  </r>
  <r>
    <n v="3"/>
    <x v="2"/>
    <x v="31"/>
    <x v="0"/>
    <x v="1"/>
    <x v="0"/>
    <n v="73.22"/>
  </r>
  <r>
    <n v="3"/>
    <x v="2"/>
    <x v="31"/>
    <x v="0"/>
    <x v="1"/>
    <x v="1"/>
    <n v="75.88"/>
  </r>
  <r>
    <n v="3"/>
    <x v="2"/>
    <x v="31"/>
    <x v="0"/>
    <x v="1"/>
    <x v="2"/>
    <n v="78.010000000000005"/>
  </r>
  <r>
    <n v="3"/>
    <x v="2"/>
    <x v="31"/>
    <x v="0"/>
    <x v="1"/>
    <x v="3"/>
    <n v="80.17"/>
  </r>
  <r>
    <n v="3"/>
    <x v="2"/>
    <x v="32"/>
    <x v="1"/>
    <x v="2"/>
    <x v="0"/>
    <n v="91.6"/>
  </r>
  <r>
    <n v="3"/>
    <x v="2"/>
    <x v="32"/>
    <x v="1"/>
    <x v="2"/>
    <x v="1"/>
    <n v="80.61"/>
  </r>
  <r>
    <n v="3"/>
    <x v="2"/>
    <x v="32"/>
    <x v="1"/>
    <x v="2"/>
    <x v="2"/>
    <n v="93.86"/>
  </r>
  <r>
    <n v="3"/>
    <x v="2"/>
    <x v="32"/>
    <x v="1"/>
    <x v="2"/>
    <x v="3"/>
    <n v="83.43"/>
  </r>
  <r>
    <n v="3"/>
    <x v="2"/>
    <x v="33"/>
    <x v="13"/>
    <x v="1"/>
    <x v="0"/>
    <n v="82.65"/>
  </r>
  <r>
    <n v="3"/>
    <x v="2"/>
    <x v="33"/>
    <x v="13"/>
    <x v="1"/>
    <x v="1"/>
    <n v="77.39"/>
  </r>
  <r>
    <n v="3"/>
    <x v="2"/>
    <x v="33"/>
    <x v="13"/>
    <x v="1"/>
    <x v="2"/>
    <n v="80.83"/>
  </r>
  <r>
    <n v="3"/>
    <x v="2"/>
    <x v="33"/>
    <x v="13"/>
    <x v="1"/>
    <x v="3"/>
    <n v="80.75"/>
  </r>
  <r>
    <n v="3"/>
    <x v="2"/>
    <x v="34"/>
    <x v="0"/>
    <x v="0"/>
    <x v="0"/>
    <n v="94.89"/>
  </r>
  <r>
    <n v="3"/>
    <x v="2"/>
    <x v="34"/>
    <x v="0"/>
    <x v="0"/>
    <x v="1"/>
    <n v="74.75"/>
  </r>
  <r>
    <n v="3"/>
    <x v="2"/>
    <x v="34"/>
    <x v="0"/>
    <x v="0"/>
    <x v="2"/>
    <n v="93.63"/>
  </r>
  <r>
    <n v="3"/>
    <x v="2"/>
    <x v="34"/>
    <x v="0"/>
    <x v="0"/>
    <x v="3"/>
    <n v="80.819999999999993"/>
  </r>
  <r>
    <n v="3"/>
    <x v="2"/>
    <x v="35"/>
    <x v="1"/>
    <x v="0"/>
    <x v="0"/>
    <n v="91.61"/>
  </r>
  <r>
    <n v="3"/>
    <x v="2"/>
    <x v="35"/>
    <x v="1"/>
    <x v="0"/>
    <x v="1"/>
    <n v="79.02"/>
  </r>
  <r>
    <n v="3"/>
    <x v="2"/>
    <x v="35"/>
    <x v="1"/>
    <x v="0"/>
    <x v="2"/>
    <n v="86.11"/>
  </r>
  <r>
    <n v="3"/>
    <x v="2"/>
    <x v="35"/>
    <x v="1"/>
    <x v="0"/>
    <x v="3"/>
    <n v="82.88"/>
  </r>
  <r>
    <n v="3"/>
    <x v="2"/>
    <x v="36"/>
    <x v="14"/>
    <x v="2"/>
    <x v="0"/>
    <n v="99.65"/>
  </r>
  <r>
    <n v="3"/>
    <x v="2"/>
    <x v="36"/>
    <x v="14"/>
    <x v="2"/>
    <x v="1"/>
    <n v="88.64"/>
  </r>
  <r>
    <n v="3"/>
    <x v="2"/>
    <x v="36"/>
    <x v="14"/>
    <x v="2"/>
    <x v="2"/>
    <n v="86.96"/>
  </r>
  <r>
    <n v="3"/>
    <x v="2"/>
    <x v="36"/>
    <x v="14"/>
    <x v="2"/>
    <x v="3"/>
    <n v="89.25"/>
  </r>
  <r>
    <n v="3"/>
    <x v="2"/>
    <x v="37"/>
    <x v="13"/>
    <x v="1"/>
    <x v="0"/>
    <n v="66.22"/>
  </r>
  <r>
    <n v="3"/>
    <x v="2"/>
    <x v="37"/>
    <x v="13"/>
    <x v="1"/>
    <x v="1"/>
    <n v="82.86"/>
  </r>
  <r>
    <n v="3"/>
    <x v="2"/>
    <x v="37"/>
    <x v="13"/>
    <x v="1"/>
    <x v="2"/>
    <n v="83.4"/>
  </r>
  <r>
    <n v="3"/>
    <x v="2"/>
    <x v="37"/>
    <x v="13"/>
    <x v="1"/>
    <x v="3"/>
    <n v="75.61"/>
  </r>
  <r>
    <n v="3"/>
    <x v="2"/>
    <x v="38"/>
    <x v="12"/>
    <x v="2"/>
    <x v="0"/>
    <n v="87.08"/>
  </r>
  <r>
    <n v="3"/>
    <x v="2"/>
    <x v="38"/>
    <x v="12"/>
    <x v="2"/>
    <x v="1"/>
    <n v="89.32"/>
  </r>
  <r>
    <n v="3"/>
    <x v="2"/>
    <x v="38"/>
    <x v="12"/>
    <x v="2"/>
    <x v="2"/>
    <n v="99.12"/>
  </r>
  <r>
    <n v="3"/>
    <x v="2"/>
    <x v="38"/>
    <x v="12"/>
    <x v="2"/>
    <x v="3"/>
    <n v="85.85"/>
  </r>
  <r>
    <n v="3"/>
    <x v="2"/>
    <x v="39"/>
    <x v="15"/>
    <x v="1"/>
    <x v="0"/>
    <n v="79.53"/>
  </r>
  <r>
    <n v="3"/>
    <x v="2"/>
    <x v="39"/>
    <x v="15"/>
    <x v="1"/>
    <x v="1"/>
    <n v="74.03"/>
  </r>
  <r>
    <n v="3"/>
    <x v="2"/>
    <x v="39"/>
    <x v="15"/>
    <x v="1"/>
    <x v="2"/>
    <n v="78.53"/>
  </r>
  <r>
    <n v="3"/>
    <x v="2"/>
    <x v="39"/>
    <x v="15"/>
    <x v="1"/>
    <x v="3"/>
    <n v="76.709999999999994"/>
  </r>
  <r>
    <n v="3"/>
    <x v="2"/>
    <x v="40"/>
    <x v="6"/>
    <x v="2"/>
    <x v="0"/>
    <n v="93.32"/>
  </r>
  <r>
    <n v="3"/>
    <x v="2"/>
    <x v="40"/>
    <x v="6"/>
    <x v="2"/>
    <x v="1"/>
    <n v="85.71"/>
  </r>
  <r>
    <n v="3"/>
    <x v="2"/>
    <x v="40"/>
    <x v="6"/>
    <x v="2"/>
    <x v="2"/>
    <n v="77.36"/>
  </r>
  <r>
    <n v="3"/>
    <x v="2"/>
    <x v="40"/>
    <x v="6"/>
    <x v="2"/>
    <x v="3"/>
    <n v="91.29"/>
  </r>
  <r>
    <n v="4"/>
    <x v="1"/>
    <x v="41"/>
    <x v="3"/>
    <x v="1"/>
    <x v="0"/>
    <n v="49.61"/>
  </r>
  <r>
    <n v="4"/>
    <x v="1"/>
    <x v="41"/>
    <x v="3"/>
    <x v="1"/>
    <x v="1"/>
    <n v="43.69"/>
  </r>
  <r>
    <n v="4"/>
    <x v="1"/>
    <x v="41"/>
    <x v="3"/>
    <x v="1"/>
    <x v="2"/>
    <n v="54.49"/>
  </r>
  <r>
    <n v="4"/>
    <x v="1"/>
    <x v="41"/>
    <x v="3"/>
    <x v="1"/>
    <x v="3"/>
    <n v="61.25"/>
  </r>
  <r>
    <n v="4"/>
    <x v="1"/>
    <x v="42"/>
    <x v="13"/>
    <x v="0"/>
    <x v="0"/>
    <n v="51.47"/>
  </r>
  <r>
    <n v="4"/>
    <x v="1"/>
    <x v="42"/>
    <x v="13"/>
    <x v="0"/>
    <x v="1"/>
    <n v="53.47"/>
  </r>
  <r>
    <n v="4"/>
    <x v="1"/>
    <x v="42"/>
    <x v="13"/>
    <x v="0"/>
    <x v="2"/>
    <n v="46.83"/>
  </r>
  <r>
    <n v="4"/>
    <x v="1"/>
    <x v="42"/>
    <x v="13"/>
    <x v="0"/>
    <x v="3"/>
    <n v="56.7"/>
  </r>
  <r>
    <n v="4"/>
    <x v="1"/>
    <x v="43"/>
    <x v="16"/>
    <x v="2"/>
    <x v="0"/>
    <n v="55.94"/>
  </r>
  <r>
    <n v="4"/>
    <x v="1"/>
    <x v="43"/>
    <x v="16"/>
    <x v="2"/>
    <x v="1"/>
    <n v="61.36"/>
  </r>
  <r>
    <n v="4"/>
    <x v="1"/>
    <x v="43"/>
    <x v="16"/>
    <x v="2"/>
    <x v="2"/>
    <n v="56.19"/>
  </r>
  <r>
    <n v="4"/>
    <x v="1"/>
    <x v="43"/>
    <x v="16"/>
    <x v="2"/>
    <x v="3"/>
    <n v="62.06"/>
  </r>
  <r>
    <n v="4"/>
    <x v="1"/>
    <x v="44"/>
    <x v="12"/>
    <x v="2"/>
    <x v="0"/>
    <n v="54.01"/>
  </r>
  <r>
    <n v="4"/>
    <x v="1"/>
    <x v="44"/>
    <x v="12"/>
    <x v="2"/>
    <x v="1"/>
    <n v="63.48"/>
  </r>
  <r>
    <n v="4"/>
    <x v="1"/>
    <x v="44"/>
    <x v="12"/>
    <x v="2"/>
    <x v="2"/>
    <n v="61.96"/>
  </r>
  <r>
    <n v="4"/>
    <x v="1"/>
    <x v="44"/>
    <x v="12"/>
    <x v="2"/>
    <x v="3"/>
    <n v="55.3"/>
  </r>
  <r>
    <n v="4"/>
    <x v="1"/>
    <x v="45"/>
    <x v="14"/>
    <x v="1"/>
    <x v="0"/>
    <n v="47.89"/>
  </r>
  <r>
    <n v="4"/>
    <x v="1"/>
    <x v="45"/>
    <x v="14"/>
    <x v="1"/>
    <x v="1"/>
    <n v="52.37"/>
  </r>
  <r>
    <n v="4"/>
    <x v="1"/>
    <x v="45"/>
    <x v="14"/>
    <x v="1"/>
    <x v="2"/>
    <n v="49.11"/>
  </r>
  <r>
    <n v="4"/>
    <x v="1"/>
    <x v="45"/>
    <x v="14"/>
    <x v="1"/>
    <x v="3"/>
    <n v="52.88"/>
  </r>
  <r>
    <n v="4"/>
    <x v="1"/>
    <x v="46"/>
    <x v="11"/>
    <x v="2"/>
    <x v="0"/>
    <n v="53.79"/>
  </r>
  <r>
    <n v="4"/>
    <x v="1"/>
    <x v="46"/>
    <x v="11"/>
    <x v="2"/>
    <x v="1"/>
    <n v="66.959999999999994"/>
  </r>
  <r>
    <n v="4"/>
    <x v="1"/>
    <x v="46"/>
    <x v="11"/>
    <x v="2"/>
    <x v="2"/>
    <n v="57.1"/>
  </r>
  <r>
    <n v="4"/>
    <x v="1"/>
    <x v="46"/>
    <x v="11"/>
    <x v="2"/>
    <x v="3"/>
    <n v="65.12"/>
  </r>
  <r>
    <n v="4"/>
    <x v="1"/>
    <x v="47"/>
    <x v="13"/>
    <x v="1"/>
    <x v="0"/>
    <n v="46.98"/>
  </r>
  <r>
    <n v="4"/>
    <x v="1"/>
    <x v="47"/>
    <x v="13"/>
    <x v="1"/>
    <x v="1"/>
    <n v="53.41"/>
  </r>
  <r>
    <n v="4"/>
    <x v="1"/>
    <x v="47"/>
    <x v="13"/>
    <x v="1"/>
    <x v="2"/>
    <n v="36.17"/>
  </r>
  <r>
    <n v="4"/>
    <x v="1"/>
    <x v="47"/>
    <x v="13"/>
    <x v="1"/>
    <x v="3"/>
    <n v="55.98"/>
  </r>
  <r>
    <n v="4"/>
    <x v="1"/>
    <x v="48"/>
    <x v="17"/>
    <x v="1"/>
    <x v="0"/>
    <n v="51.87"/>
  </r>
  <r>
    <n v="4"/>
    <x v="1"/>
    <x v="48"/>
    <x v="17"/>
    <x v="1"/>
    <x v="1"/>
    <n v="58.01"/>
  </r>
  <r>
    <n v="4"/>
    <x v="1"/>
    <x v="48"/>
    <x v="17"/>
    <x v="1"/>
    <x v="2"/>
    <n v="47.93"/>
  </r>
  <r>
    <n v="4"/>
    <x v="1"/>
    <x v="48"/>
    <x v="17"/>
    <x v="1"/>
    <x v="3"/>
    <n v="51.33"/>
  </r>
  <r>
    <n v="4"/>
    <x v="1"/>
    <x v="49"/>
    <x v="8"/>
    <x v="2"/>
    <x v="0"/>
    <n v="62.16"/>
  </r>
  <r>
    <n v="4"/>
    <x v="1"/>
    <x v="49"/>
    <x v="8"/>
    <x v="2"/>
    <x v="1"/>
    <n v="54.06"/>
  </r>
  <r>
    <n v="4"/>
    <x v="1"/>
    <x v="49"/>
    <x v="8"/>
    <x v="2"/>
    <x v="2"/>
    <n v="51.72"/>
  </r>
  <r>
    <n v="4"/>
    <x v="1"/>
    <x v="49"/>
    <x v="8"/>
    <x v="2"/>
    <x v="3"/>
    <n v="59.64"/>
  </r>
  <r>
    <n v="5"/>
    <x v="0"/>
    <x v="50"/>
    <x v="1"/>
    <x v="0"/>
    <x v="0"/>
    <n v="52.23"/>
  </r>
  <r>
    <n v="5"/>
    <x v="0"/>
    <x v="50"/>
    <x v="1"/>
    <x v="0"/>
    <x v="1"/>
    <n v="51.68"/>
  </r>
  <r>
    <n v="5"/>
    <x v="0"/>
    <x v="50"/>
    <x v="1"/>
    <x v="0"/>
    <x v="2"/>
    <n v="46.22"/>
  </r>
  <r>
    <n v="5"/>
    <x v="0"/>
    <x v="50"/>
    <x v="1"/>
    <x v="0"/>
    <x v="3"/>
    <n v="46.03"/>
  </r>
  <r>
    <n v="5"/>
    <x v="0"/>
    <x v="51"/>
    <x v="18"/>
    <x v="1"/>
    <x v="0"/>
    <n v="40.4"/>
  </r>
  <r>
    <n v="5"/>
    <x v="0"/>
    <x v="51"/>
    <x v="18"/>
    <x v="1"/>
    <x v="1"/>
    <n v="50.28"/>
  </r>
  <r>
    <n v="5"/>
    <x v="0"/>
    <x v="51"/>
    <x v="18"/>
    <x v="1"/>
    <x v="2"/>
    <n v="52.72"/>
  </r>
  <r>
    <n v="5"/>
    <x v="0"/>
    <x v="51"/>
    <x v="18"/>
    <x v="1"/>
    <x v="3"/>
    <n v="38.299999999999997"/>
  </r>
  <r>
    <n v="5"/>
    <x v="0"/>
    <x v="52"/>
    <x v="9"/>
    <x v="1"/>
    <x v="0"/>
    <n v="51.79"/>
  </r>
  <r>
    <n v="5"/>
    <x v="0"/>
    <x v="52"/>
    <x v="9"/>
    <x v="1"/>
    <x v="1"/>
    <n v="42.56"/>
  </r>
  <r>
    <n v="5"/>
    <x v="0"/>
    <x v="52"/>
    <x v="9"/>
    <x v="1"/>
    <x v="2"/>
    <n v="44.64"/>
  </r>
  <r>
    <n v="5"/>
    <x v="0"/>
    <x v="52"/>
    <x v="9"/>
    <x v="1"/>
    <x v="3"/>
    <n v="45.11"/>
  </r>
  <r>
    <n v="5"/>
    <x v="0"/>
    <x v="53"/>
    <x v="8"/>
    <x v="1"/>
    <x v="0"/>
    <n v="42.15"/>
  </r>
  <r>
    <n v="5"/>
    <x v="0"/>
    <x v="53"/>
    <x v="8"/>
    <x v="1"/>
    <x v="1"/>
    <n v="42.59"/>
  </r>
  <r>
    <n v="5"/>
    <x v="0"/>
    <x v="53"/>
    <x v="8"/>
    <x v="1"/>
    <x v="2"/>
    <n v="49.56"/>
  </r>
  <r>
    <n v="5"/>
    <x v="0"/>
    <x v="53"/>
    <x v="8"/>
    <x v="1"/>
    <x v="3"/>
    <n v="39.25"/>
  </r>
  <r>
    <n v="5"/>
    <x v="0"/>
    <x v="54"/>
    <x v="0"/>
    <x v="1"/>
    <x v="0"/>
    <n v="48.18"/>
  </r>
  <r>
    <n v="5"/>
    <x v="0"/>
    <x v="54"/>
    <x v="0"/>
    <x v="1"/>
    <x v="1"/>
    <n v="48.25"/>
  </r>
  <r>
    <n v="5"/>
    <x v="0"/>
    <x v="54"/>
    <x v="0"/>
    <x v="1"/>
    <x v="2"/>
    <n v="46.42"/>
  </r>
  <r>
    <n v="5"/>
    <x v="0"/>
    <x v="54"/>
    <x v="0"/>
    <x v="1"/>
    <x v="3"/>
    <n v="43.77"/>
  </r>
  <r>
    <n v="5"/>
    <x v="0"/>
    <x v="55"/>
    <x v="12"/>
    <x v="1"/>
    <x v="0"/>
    <n v="45.3"/>
  </r>
  <r>
    <n v="5"/>
    <x v="0"/>
    <x v="55"/>
    <x v="12"/>
    <x v="1"/>
    <x v="1"/>
    <n v="48.84"/>
  </r>
  <r>
    <n v="5"/>
    <x v="0"/>
    <x v="55"/>
    <x v="12"/>
    <x v="1"/>
    <x v="2"/>
    <n v="45.08"/>
  </r>
  <r>
    <n v="5"/>
    <x v="0"/>
    <x v="55"/>
    <x v="12"/>
    <x v="1"/>
    <x v="3"/>
    <n v="44.67"/>
  </r>
  <r>
    <n v="5"/>
    <x v="0"/>
    <x v="56"/>
    <x v="6"/>
    <x v="0"/>
    <x v="0"/>
    <n v="45.56"/>
  </r>
  <r>
    <n v="5"/>
    <x v="0"/>
    <x v="56"/>
    <x v="6"/>
    <x v="0"/>
    <x v="1"/>
    <n v="55.19"/>
  </r>
  <r>
    <n v="5"/>
    <x v="0"/>
    <x v="56"/>
    <x v="6"/>
    <x v="0"/>
    <x v="2"/>
    <n v="37.840000000000003"/>
  </r>
  <r>
    <n v="5"/>
    <x v="0"/>
    <x v="56"/>
    <x v="6"/>
    <x v="0"/>
    <x v="3"/>
    <n v="50.07"/>
  </r>
  <r>
    <n v="5"/>
    <x v="0"/>
    <x v="57"/>
    <x v="16"/>
    <x v="1"/>
    <x v="0"/>
    <n v="47.33"/>
  </r>
  <r>
    <n v="5"/>
    <x v="0"/>
    <x v="57"/>
    <x v="16"/>
    <x v="1"/>
    <x v="1"/>
    <n v="45.42"/>
  </r>
  <r>
    <n v="5"/>
    <x v="0"/>
    <x v="57"/>
    <x v="16"/>
    <x v="1"/>
    <x v="2"/>
    <n v="44.31"/>
  </r>
  <r>
    <n v="5"/>
    <x v="0"/>
    <x v="57"/>
    <x v="16"/>
    <x v="1"/>
    <x v="3"/>
    <n v="40.26"/>
  </r>
  <r>
    <n v="5"/>
    <x v="0"/>
    <x v="58"/>
    <x v="19"/>
    <x v="1"/>
    <x v="0"/>
    <n v="43.27"/>
  </r>
  <r>
    <n v="5"/>
    <x v="0"/>
    <x v="58"/>
    <x v="19"/>
    <x v="1"/>
    <x v="1"/>
    <n v="48.33"/>
  </r>
  <r>
    <n v="5"/>
    <x v="0"/>
    <x v="58"/>
    <x v="19"/>
    <x v="1"/>
    <x v="2"/>
    <n v="44.14"/>
  </r>
  <r>
    <n v="5"/>
    <x v="0"/>
    <x v="58"/>
    <x v="19"/>
    <x v="1"/>
    <x v="3"/>
    <n v="51.5"/>
  </r>
  <r>
    <n v="5"/>
    <x v="0"/>
    <x v="59"/>
    <x v="10"/>
    <x v="2"/>
    <x v="0"/>
    <n v="49.95"/>
  </r>
  <r>
    <n v="5"/>
    <x v="0"/>
    <x v="59"/>
    <x v="10"/>
    <x v="2"/>
    <x v="1"/>
    <n v="55.11"/>
  </r>
  <r>
    <n v="5"/>
    <x v="0"/>
    <x v="59"/>
    <x v="10"/>
    <x v="2"/>
    <x v="2"/>
    <n v="55.28"/>
  </r>
  <r>
    <n v="5"/>
    <x v="0"/>
    <x v="59"/>
    <x v="10"/>
    <x v="2"/>
    <x v="3"/>
    <n v="54.7"/>
  </r>
  <r>
    <n v="5"/>
    <x v="0"/>
    <x v="60"/>
    <x v="15"/>
    <x v="0"/>
    <x v="0"/>
    <n v="50.11"/>
  </r>
  <r>
    <n v="5"/>
    <x v="0"/>
    <x v="60"/>
    <x v="15"/>
    <x v="0"/>
    <x v="1"/>
    <n v="55.59"/>
  </r>
  <r>
    <n v="5"/>
    <x v="0"/>
    <x v="60"/>
    <x v="15"/>
    <x v="0"/>
    <x v="2"/>
    <n v="54.37"/>
  </r>
  <r>
    <n v="5"/>
    <x v="0"/>
    <x v="60"/>
    <x v="15"/>
    <x v="0"/>
    <x v="3"/>
    <n v="51.91"/>
  </r>
  <r>
    <n v="5"/>
    <x v="0"/>
    <x v="61"/>
    <x v="6"/>
    <x v="2"/>
    <x v="0"/>
    <n v="59.34"/>
  </r>
  <r>
    <n v="5"/>
    <x v="0"/>
    <x v="61"/>
    <x v="6"/>
    <x v="2"/>
    <x v="1"/>
    <n v="62.63"/>
  </r>
  <r>
    <n v="5"/>
    <x v="0"/>
    <x v="61"/>
    <x v="6"/>
    <x v="2"/>
    <x v="2"/>
    <n v="49.08"/>
  </r>
  <r>
    <n v="5"/>
    <x v="0"/>
    <x v="61"/>
    <x v="6"/>
    <x v="2"/>
    <x v="3"/>
    <n v="58.04"/>
  </r>
  <r>
    <n v="5"/>
    <x v="0"/>
    <x v="62"/>
    <x v="3"/>
    <x v="1"/>
    <x v="0"/>
    <n v="46.26"/>
  </r>
  <r>
    <n v="5"/>
    <x v="0"/>
    <x v="62"/>
    <x v="3"/>
    <x v="1"/>
    <x v="1"/>
    <n v="47.71"/>
  </r>
  <r>
    <n v="5"/>
    <x v="0"/>
    <x v="62"/>
    <x v="3"/>
    <x v="1"/>
    <x v="2"/>
    <n v="54.09"/>
  </r>
  <r>
    <n v="5"/>
    <x v="0"/>
    <x v="62"/>
    <x v="3"/>
    <x v="1"/>
    <x v="3"/>
    <n v="46.89"/>
  </r>
  <r>
    <n v="5"/>
    <x v="0"/>
    <x v="63"/>
    <x v="3"/>
    <x v="0"/>
    <x v="0"/>
    <n v="57.37"/>
  </r>
  <r>
    <n v="5"/>
    <x v="0"/>
    <x v="63"/>
    <x v="3"/>
    <x v="0"/>
    <x v="1"/>
    <n v="55.53"/>
  </r>
  <r>
    <n v="5"/>
    <x v="0"/>
    <x v="63"/>
    <x v="3"/>
    <x v="0"/>
    <x v="2"/>
    <n v="51.16"/>
  </r>
  <r>
    <n v="5"/>
    <x v="0"/>
    <x v="63"/>
    <x v="3"/>
    <x v="0"/>
    <x v="3"/>
    <n v="57.06"/>
  </r>
  <r>
    <n v="5"/>
    <x v="0"/>
    <x v="64"/>
    <x v="2"/>
    <x v="0"/>
    <x v="0"/>
    <n v="50.59"/>
  </r>
  <r>
    <n v="5"/>
    <x v="0"/>
    <x v="64"/>
    <x v="2"/>
    <x v="0"/>
    <x v="1"/>
    <n v="48.64"/>
  </r>
  <r>
    <n v="5"/>
    <x v="0"/>
    <x v="64"/>
    <x v="2"/>
    <x v="0"/>
    <x v="2"/>
    <n v="50.55"/>
  </r>
  <r>
    <n v="5"/>
    <x v="0"/>
    <x v="64"/>
    <x v="2"/>
    <x v="0"/>
    <x v="3"/>
    <n v="49.08"/>
  </r>
  <r>
    <n v="6"/>
    <x v="0"/>
    <x v="65"/>
    <x v="6"/>
    <x v="0"/>
    <x v="0"/>
    <n v="24.75"/>
  </r>
  <r>
    <n v="6"/>
    <x v="0"/>
    <x v="65"/>
    <x v="6"/>
    <x v="0"/>
    <x v="1"/>
    <n v="41.47"/>
  </r>
  <r>
    <n v="6"/>
    <x v="0"/>
    <x v="65"/>
    <x v="6"/>
    <x v="0"/>
    <x v="2"/>
    <n v="35.1"/>
  </r>
  <r>
    <n v="6"/>
    <x v="0"/>
    <x v="65"/>
    <x v="6"/>
    <x v="0"/>
    <x v="3"/>
    <n v="34.33"/>
  </r>
  <r>
    <n v="6"/>
    <x v="0"/>
    <x v="66"/>
    <x v="9"/>
    <x v="1"/>
    <x v="0"/>
    <n v="31.94"/>
  </r>
  <r>
    <n v="6"/>
    <x v="0"/>
    <x v="66"/>
    <x v="9"/>
    <x v="1"/>
    <x v="1"/>
    <n v="29.64"/>
  </r>
  <r>
    <n v="6"/>
    <x v="0"/>
    <x v="66"/>
    <x v="9"/>
    <x v="1"/>
    <x v="2"/>
    <n v="33.64"/>
  </r>
  <r>
    <n v="6"/>
    <x v="0"/>
    <x v="66"/>
    <x v="9"/>
    <x v="1"/>
    <x v="3"/>
    <n v="36.049999999999997"/>
  </r>
  <r>
    <n v="6"/>
    <x v="0"/>
    <x v="67"/>
    <x v="14"/>
    <x v="1"/>
    <x v="0"/>
    <n v="36.700000000000003"/>
  </r>
  <r>
    <n v="6"/>
    <x v="0"/>
    <x v="67"/>
    <x v="14"/>
    <x v="1"/>
    <x v="1"/>
    <n v="41.53"/>
  </r>
  <r>
    <n v="6"/>
    <x v="0"/>
    <x v="67"/>
    <x v="14"/>
    <x v="1"/>
    <x v="2"/>
    <n v="27.71"/>
  </r>
  <r>
    <n v="6"/>
    <x v="0"/>
    <x v="67"/>
    <x v="14"/>
    <x v="1"/>
    <x v="3"/>
    <n v="37.200000000000003"/>
  </r>
  <r>
    <n v="6"/>
    <x v="0"/>
    <x v="68"/>
    <x v="0"/>
    <x v="2"/>
    <x v="0"/>
    <n v="42.16"/>
  </r>
  <r>
    <n v="6"/>
    <x v="0"/>
    <x v="68"/>
    <x v="0"/>
    <x v="2"/>
    <x v="1"/>
    <n v="36.799999999999997"/>
  </r>
  <r>
    <n v="6"/>
    <x v="0"/>
    <x v="68"/>
    <x v="0"/>
    <x v="2"/>
    <x v="2"/>
    <n v="46.98"/>
  </r>
  <r>
    <n v="6"/>
    <x v="0"/>
    <x v="68"/>
    <x v="0"/>
    <x v="2"/>
    <x v="3"/>
    <n v="47.35"/>
  </r>
  <r>
    <n v="6"/>
    <x v="0"/>
    <x v="69"/>
    <x v="3"/>
    <x v="1"/>
    <x v="0"/>
    <n v="32.21"/>
  </r>
  <r>
    <n v="6"/>
    <x v="0"/>
    <x v="69"/>
    <x v="3"/>
    <x v="1"/>
    <x v="1"/>
    <n v="38.409999999999997"/>
  </r>
  <r>
    <n v="6"/>
    <x v="0"/>
    <x v="69"/>
    <x v="3"/>
    <x v="1"/>
    <x v="2"/>
    <n v="37.9"/>
  </r>
  <r>
    <n v="6"/>
    <x v="0"/>
    <x v="69"/>
    <x v="3"/>
    <x v="1"/>
    <x v="3"/>
    <n v="44.84"/>
  </r>
  <r>
    <n v="6"/>
    <x v="0"/>
    <x v="70"/>
    <x v="2"/>
    <x v="1"/>
    <x v="0"/>
    <n v="37.450000000000003"/>
  </r>
  <r>
    <n v="6"/>
    <x v="0"/>
    <x v="70"/>
    <x v="2"/>
    <x v="1"/>
    <x v="1"/>
    <n v="35.46"/>
  </r>
  <r>
    <n v="6"/>
    <x v="0"/>
    <x v="70"/>
    <x v="2"/>
    <x v="1"/>
    <x v="2"/>
    <n v="31.85"/>
  </r>
  <r>
    <n v="6"/>
    <x v="0"/>
    <x v="70"/>
    <x v="2"/>
    <x v="1"/>
    <x v="3"/>
    <n v="19.260000000000002"/>
  </r>
  <r>
    <n v="6"/>
    <x v="0"/>
    <x v="71"/>
    <x v="1"/>
    <x v="1"/>
    <x v="0"/>
    <n v="38.65"/>
  </r>
  <r>
    <n v="6"/>
    <x v="0"/>
    <x v="71"/>
    <x v="1"/>
    <x v="1"/>
    <x v="1"/>
    <n v="17.34"/>
  </r>
  <r>
    <n v="6"/>
    <x v="0"/>
    <x v="71"/>
    <x v="1"/>
    <x v="1"/>
    <x v="2"/>
    <n v="33.14"/>
  </r>
  <r>
    <n v="6"/>
    <x v="0"/>
    <x v="71"/>
    <x v="1"/>
    <x v="1"/>
    <x v="3"/>
    <n v="23.44"/>
  </r>
  <r>
    <n v="6"/>
    <x v="0"/>
    <x v="72"/>
    <x v="1"/>
    <x v="0"/>
    <x v="0"/>
    <n v="37.17"/>
  </r>
  <r>
    <n v="6"/>
    <x v="0"/>
    <x v="72"/>
    <x v="1"/>
    <x v="0"/>
    <x v="1"/>
    <n v="30.52"/>
  </r>
  <r>
    <n v="6"/>
    <x v="0"/>
    <x v="72"/>
    <x v="1"/>
    <x v="0"/>
    <x v="2"/>
    <n v="32.51"/>
  </r>
  <r>
    <n v="6"/>
    <x v="0"/>
    <x v="72"/>
    <x v="1"/>
    <x v="0"/>
    <x v="3"/>
    <n v="29.12"/>
  </r>
  <r>
    <n v="6"/>
    <x v="0"/>
    <x v="73"/>
    <x v="8"/>
    <x v="2"/>
    <x v="0"/>
    <n v="40.46"/>
  </r>
  <r>
    <n v="6"/>
    <x v="0"/>
    <x v="73"/>
    <x v="8"/>
    <x v="2"/>
    <x v="1"/>
    <n v="41.25"/>
  </r>
  <r>
    <n v="6"/>
    <x v="0"/>
    <x v="73"/>
    <x v="8"/>
    <x v="2"/>
    <x v="2"/>
    <n v="32.049999999999997"/>
  </r>
  <r>
    <n v="6"/>
    <x v="0"/>
    <x v="73"/>
    <x v="8"/>
    <x v="2"/>
    <x v="3"/>
    <n v="47.5"/>
  </r>
  <r>
    <n v="6"/>
    <x v="0"/>
    <x v="74"/>
    <x v="13"/>
    <x v="1"/>
    <x v="0"/>
    <n v="32.770000000000003"/>
  </r>
  <r>
    <n v="6"/>
    <x v="0"/>
    <x v="74"/>
    <x v="13"/>
    <x v="1"/>
    <x v="1"/>
    <n v="30.26"/>
  </r>
  <r>
    <n v="6"/>
    <x v="0"/>
    <x v="74"/>
    <x v="13"/>
    <x v="1"/>
    <x v="2"/>
    <n v="27.55"/>
  </r>
  <r>
    <n v="6"/>
    <x v="0"/>
    <x v="74"/>
    <x v="13"/>
    <x v="1"/>
    <x v="3"/>
    <n v="27.37"/>
  </r>
  <r>
    <n v="6"/>
    <x v="0"/>
    <x v="75"/>
    <x v="20"/>
    <x v="0"/>
    <x v="0"/>
    <n v="47.48"/>
  </r>
  <r>
    <n v="6"/>
    <x v="0"/>
    <x v="75"/>
    <x v="20"/>
    <x v="0"/>
    <x v="1"/>
    <n v="39.409999999999997"/>
  </r>
  <r>
    <n v="6"/>
    <x v="0"/>
    <x v="75"/>
    <x v="20"/>
    <x v="0"/>
    <x v="2"/>
    <n v="43.29"/>
  </r>
  <r>
    <n v="6"/>
    <x v="0"/>
    <x v="75"/>
    <x v="20"/>
    <x v="0"/>
    <x v="3"/>
    <n v="42.59"/>
  </r>
  <r>
    <n v="6"/>
    <x v="0"/>
    <x v="76"/>
    <x v="0"/>
    <x v="2"/>
    <x v="0"/>
    <n v="35.299999999999997"/>
  </r>
  <r>
    <n v="6"/>
    <x v="0"/>
    <x v="76"/>
    <x v="0"/>
    <x v="2"/>
    <x v="1"/>
    <n v="35.86"/>
  </r>
  <r>
    <n v="6"/>
    <x v="0"/>
    <x v="76"/>
    <x v="0"/>
    <x v="2"/>
    <x v="2"/>
    <n v="49.3"/>
  </r>
  <r>
    <n v="6"/>
    <x v="0"/>
    <x v="76"/>
    <x v="0"/>
    <x v="2"/>
    <x v="3"/>
    <n v="30.81"/>
  </r>
  <r>
    <n v="6"/>
    <x v="0"/>
    <x v="77"/>
    <x v="13"/>
    <x v="2"/>
    <x v="0"/>
    <n v="44.98"/>
  </r>
  <r>
    <n v="6"/>
    <x v="0"/>
    <x v="77"/>
    <x v="13"/>
    <x v="2"/>
    <x v="1"/>
    <n v="41.71"/>
  </r>
  <r>
    <n v="6"/>
    <x v="0"/>
    <x v="77"/>
    <x v="13"/>
    <x v="2"/>
    <x v="2"/>
    <n v="41.1"/>
  </r>
  <r>
    <n v="6"/>
    <x v="0"/>
    <x v="77"/>
    <x v="13"/>
    <x v="2"/>
    <x v="3"/>
    <n v="40.97"/>
  </r>
  <r>
    <n v="6"/>
    <x v="0"/>
    <x v="78"/>
    <x v="6"/>
    <x v="2"/>
    <x v="0"/>
    <n v="41.1"/>
  </r>
  <r>
    <n v="6"/>
    <x v="0"/>
    <x v="78"/>
    <x v="6"/>
    <x v="2"/>
    <x v="1"/>
    <n v="41.56"/>
  </r>
  <r>
    <n v="6"/>
    <x v="0"/>
    <x v="78"/>
    <x v="6"/>
    <x v="2"/>
    <x v="2"/>
    <n v="36.39"/>
  </r>
  <r>
    <n v="6"/>
    <x v="0"/>
    <x v="78"/>
    <x v="6"/>
    <x v="2"/>
    <x v="3"/>
    <n v="39.67"/>
  </r>
  <r>
    <n v="6"/>
    <x v="0"/>
    <x v="79"/>
    <x v="8"/>
    <x v="0"/>
    <x v="0"/>
    <n v="34.46"/>
  </r>
  <r>
    <n v="6"/>
    <x v="0"/>
    <x v="79"/>
    <x v="8"/>
    <x v="0"/>
    <x v="1"/>
    <n v="40.130000000000003"/>
  </r>
  <r>
    <n v="6"/>
    <x v="0"/>
    <x v="79"/>
    <x v="8"/>
    <x v="0"/>
    <x v="2"/>
    <n v="32.18"/>
  </r>
  <r>
    <n v="6"/>
    <x v="0"/>
    <x v="79"/>
    <x v="8"/>
    <x v="0"/>
    <x v="3"/>
    <n v="43.73"/>
  </r>
  <r>
    <n v="7"/>
    <x v="0"/>
    <x v="80"/>
    <x v="13"/>
    <x v="0"/>
    <x v="0"/>
    <n v="49.01"/>
  </r>
  <r>
    <n v="7"/>
    <x v="0"/>
    <x v="80"/>
    <x v="13"/>
    <x v="0"/>
    <x v="1"/>
    <n v="46.29"/>
  </r>
  <r>
    <n v="7"/>
    <x v="0"/>
    <x v="80"/>
    <x v="13"/>
    <x v="0"/>
    <x v="2"/>
    <n v="37.14"/>
  </r>
  <r>
    <n v="7"/>
    <x v="0"/>
    <x v="80"/>
    <x v="13"/>
    <x v="0"/>
    <x v="3"/>
    <n v="42.82"/>
  </r>
  <r>
    <n v="7"/>
    <x v="0"/>
    <x v="81"/>
    <x v="0"/>
    <x v="0"/>
    <x v="0"/>
    <n v="47.22"/>
  </r>
  <r>
    <n v="7"/>
    <x v="0"/>
    <x v="81"/>
    <x v="0"/>
    <x v="0"/>
    <x v="1"/>
    <n v="35.24"/>
  </r>
  <r>
    <n v="7"/>
    <x v="0"/>
    <x v="81"/>
    <x v="0"/>
    <x v="0"/>
    <x v="2"/>
    <n v="47.22"/>
  </r>
  <r>
    <n v="7"/>
    <x v="0"/>
    <x v="81"/>
    <x v="0"/>
    <x v="0"/>
    <x v="3"/>
    <n v="43.15"/>
  </r>
  <r>
    <n v="7"/>
    <x v="0"/>
    <x v="82"/>
    <x v="0"/>
    <x v="1"/>
    <x v="0"/>
    <n v="40.71"/>
  </r>
  <r>
    <n v="7"/>
    <x v="0"/>
    <x v="82"/>
    <x v="0"/>
    <x v="1"/>
    <x v="1"/>
    <n v="38.26"/>
  </r>
  <r>
    <n v="7"/>
    <x v="0"/>
    <x v="82"/>
    <x v="0"/>
    <x v="1"/>
    <x v="2"/>
    <n v="41.44"/>
  </r>
  <r>
    <n v="7"/>
    <x v="0"/>
    <x v="82"/>
    <x v="0"/>
    <x v="1"/>
    <x v="3"/>
    <n v="25.7"/>
  </r>
  <r>
    <n v="7"/>
    <x v="0"/>
    <x v="83"/>
    <x v="10"/>
    <x v="0"/>
    <x v="0"/>
    <n v="40.29"/>
  </r>
  <r>
    <n v="7"/>
    <x v="0"/>
    <x v="83"/>
    <x v="10"/>
    <x v="0"/>
    <x v="1"/>
    <n v="48.35"/>
  </r>
  <r>
    <n v="7"/>
    <x v="0"/>
    <x v="83"/>
    <x v="10"/>
    <x v="0"/>
    <x v="2"/>
    <n v="43.26"/>
  </r>
  <r>
    <n v="7"/>
    <x v="0"/>
    <x v="83"/>
    <x v="10"/>
    <x v="0"/>
    <x v="3"/>
    <n v="44.2"/>
  </r>
  <r>
    <n v="7"/>
    <x v="0"/>
    <x v="84"/>
    <x v="8"/>
    <x v="0"/>
    <x v="0"/>
    <n v="46.14"/>
  </r>
  <r>
    <n v="7"/>
    <x v="0"/>
    <x v="84"/>
    <x v="8"/>
    <x v="0"/>
    <x v="1"/>
    <n v="41.12"/>
  </r>
  <r>
    <n v="7"/>
    <x v="0"/>
    <x v="84"/>
    <x v="8"/>
    <x v="0"/>
    <x v="2"/>
    <n v="45.03"/>
  </r>
  <r>
    <n v="7"/>
    <x v="0"/>
    <x v="84"/>
    <x v="8"/>
    <x v="0"/>
    <x v="3"/>
    <n v="38.85"/>
  </r>
  <r>
    <n v="7"/>
    <x v="0"/>
    <x v="85"/>
    <x v="8"/>
    <x v="0"/>
    <x v="0"/>
    <n v="41.96"/>
  </r>
  <r>
    <n v="7"/>
    <x v="0"/>
    <x v="85"/>
    <x v="8"/>
    <x v="0"/>
    <x v="1"/>
    <n v="42.27"/>
  </r>
  <r>
    <n v="7"/>
    <x v="0"/>
    <x v="85"/>
    <x v="8"/>
    <x v="0"/>
    <x v="2"/>
    <n v="38.51"/>
  </r>
  <r>
    <n v="7"/>
    <x v="0"/>
    <x v="85"/>
    <x v="8"/>
    <x v="0"/>
    <x v="3"/>
    <n v="43.51"/>
  </r>
  <r>
    <n v="7"/>
    <x v="0"/>
    <x v="86"/>
    <x v="12"/>
    <x v="1"/>
    <x v="0"/>
    <n v="49.39"/>
  </r>
  <r>
    <n v="7"/>
    <x v="0"/>
    <x v="86"/>
    <x v="12"/>
    <x v="1"/>
    <x v="1"/>
    <n v="40.25"/>
  </r>
  <r>
    <n v="7"/>
    <x v="0"/>
    <x v="86"/>
    <x v="12"/>
    <x v="1"/>
    <x v="2"/>
    <n v="42.46"/>
  </r>
  <r>
    <n v="7"/>
    <x v="0"/>
    <x v="86"/>
    <x v="12"/>
    <x v="1"/>
    <x v="3"/>
    <n v="31.62"/>
  </r>
  <r>
    <n v="7"/>
    <x v="0"/>
    <x v="87"/>
    <x v="21"/>
    <x v="2"/>
    <x v="0"/>
    <n v="53.38"/>
  </r>
  <r>
    <n v="7"/>
    <x v="0"/>
    <x v="87"/>
    <x v="21"/>
    <x v="2"/>
    <x v="1"/>
    <n v="55.31"/>
  </r>
  <r>
    <n v="7"/>
    <x v="0"/>
    <x v="87"/>
    <x v="21"/>
    <x v="2"/>
    <x v="2"/>
    <n v="56.1"/>
  </r>
  <r>
    <n v="7"/>
    <x v="0"/>
    <x v="87"/>
    <x v="21"/>
    <x v="2"/>
    <x v="3"/>
    <n v="43.24"/>
  </r>
  <r>
    <n v="7"/>
    <x v="0"/>
    <x v="88"/>
    <x v="16"/>
    <x v="2"/>
    <x v="0"/>
    <n v="48.18"/>
  </r>
  <r>
    <n v="7"/>
    <x v="0"/>
    <x v="88"/>
    <x v="16"/>
    <x v="2"/>
    <x v="1"/>
    <n v="43.11"/>
  </r>
  <r>
    <n v="7"/>
    <x v="0"/>
    <x v="88"/>
    <x v="16"/>
    <x v="2"/>
    <x v="2"/>
    <n v="43.78"/>
  </r>
  <r>
    <n v="7"/>
    <x v="0"/>
    <x v="88"/>
    <x v="16"/>
    <x v="2"/>
    <x v="3"/>
    <n v="56.9"/>
  </r>
  <r>
    <n v="7"/>
    <x v="0"/>
    <x v="89"/>
    <x v="0"/>
    <x v="2"/>
    <x v="0"/>
    <n v="53.53"/>
  </r>
  <r>
    <n v="7"/>
    <x v="0"/>
    <x v="89"/>
    <x v="0"/>
    <x v="2"/>
    <x v="1"/>
    <n v="47.92"/>
  </r>
  <r>
    <n v="7"/>
    <x v="0"/>
    <x v="89"/>
    <x v="0"/>
    <x v="2"/>
    <x v="2"/>
    <n v="56.18"/>
  </r>
  <r>
    <n v="7"/>
    <x v="0"/>
    <x v="89"/>
    <x v="0"/>
    <x v="2"/>
    <x v="3"/>
    <n v="46.66"/>
  </r>
  <r>
    <n v="7"/>
    <x v="0"/>
    <x v="90"/>
    <x v="10"/>
    <x v="0"/>
    <x v="0"/>
    <n v="40.43"/>
  </r>
  <r>
    <n v="7"/>
    <x v="0"/>
    <x v="90"/>
    <x v="10"/>
    <x v="0"/>
    <x v="1"/>
    <n v="51.15"/>
  </r>
  <r>
    <n v="7"/>
    <x v="0"/>
    <x v="90"/>
    <x v="10"/>
    <x v="0"/>
    <x v="2"/>
    <n v="42.5"/>
  </r>
  <r>
    <n v="7"/>
    <x v="0"/>
    <x v="90"/>
    <x v="10"/>
    <x v="0"/>
    <x v="3"/>
    <n v="52.76"/>
  </r>
  <r>
    <n v="7"/>
    <x v="0"/>
    <x v="91"/>
    <x v="3"/>
    <x v="0"/>
    <x v="0"/>
    <n v="47.63"/>
  </r>
  <r>
    <n v="7"/>
    <x v="0"/>
    <x v="91"/>
    <x v="3"/>
    <x v="0"/>
    <x v="1"/>
    <n v="52.21"/>
  </r>
  <r>
    <n v="7"/>
    <x v="0"/>
    <x v="91"/>
    <x v="3"/>
    <x v="0"/>
    <x v="2"/>
    <n v="40.17"/>
  </r>
  <r>
    <n v="7"/>
    <x v="0"/>
    <x v="91"/>
    <x v="3"/>
    <x v="0"/>
    <x v="3"/>
    <n v="48.36"/>
  </r>
  <r>
    <n v="7"/>
    <x v="0"/>
    <x v="92"/>
    <x v="21"/>
    <x v="2"/>
    <x v="0"/>
    <n v="42.76"/>
  </r>
  <r>
    <n v="7"/>
    <x v="0"/>
    <x v="92"/>
    <x v="21"/>
    <x v="2"/>
    <x v="1"/>
    <n v="50.52"/>
  </r>
  <r>
    <n v="7"/>
    <x v="0"/>
    <x v="92"/>
    <x v="21"/>
    <x v="2"/>
    <x v="2"/>
    <n v="56.86"/>
  </r>
  <r>
    <n v="7"/>
    <x v="0"/>
    <x v="92"/>
    <x v="21"/>
    <x v="2"/>
    <x v="3"/>
    <n v="47.51"/>
  </r>
  <r>
    <n v="7"/>
    <x v="0"/>
    <x v="93"/>
    <x v="8"/>
    <x v="1"/>
    <x v="0"/>
    <n v="38.56"/>
  </r>
  <r>
    <n v="7"/>
    <x v="0"/>
    <x v="93"/>
    <x v="8"/>
    <x v="1"/>
    <x v="1"/>
    <n v="37.29"/>
  </r>
  <r>
    <n v="7"/>
    <x v="0"/>
    <x v="93"/>
    <x v="8"/>
    <x v="1"/>
    <x v="2"/>
    <n v="35.6"/>
  </r>
  <r>
    <n v="7"/>
    <x v="0"/>
    <x v="93"/>
    <x v="8"/>
    <x v="1"/>
    <x v="3"/>
    <n v="33.35"/>
  </r>
  <r>
    <n v="7"/>
    <x v="0"/>
    <x v="94"/>
    <x v="3"/>
    <x v="1"/>
    <x v="0"/>
    <n v="48.5"/>
  </r>
  <r>
    <n v="7"/>
    <x v="0"/>
    <x v="94"/>
    <x v="3"/>
    <x v="1"/>
    <x v="1"/>
    <n v="36.799999999999997"/>
  </r>
  <r>
    <n v="7"/>
    <x v="0"/>
    <x v="94"/>
    <x v="3"/>
    <x v="1"/>
    <x v="2"/>
    <n v="48.32"/>
  </r>
  <r>
    <n v="7"/>
    <x v="0"/>
    <x v="94"/>
    <x v="3"/>
    <x v="1"/>
    <x v="3"/>
    <n v="41.54"/>
  </r>
  <r>
    <n v="8"/>
    <x v="0"/>
    <x v="95"/>
    <x v="3"/>
    <x v="0"/>
    <x v="0"/>
    <n v="53.56"/>
  </r>
  <r>
    <n v="8"/>
    <x v="0"/>
    <x v="95"/>
    <x v="3"/>
    <x v="0"/>
    <x v="1"/>
    <n v="49.72"/>
  </r>
  <r>
    <n v="8"/>
    <x v="0"/>
    <x v="95"/>
    <x v="3"/>
    <x v="0"/>
    <x v="2"/>
    <n v="48.77"/>
  </r>
  <r>
    <n v="8"/>
    <x v="0"/>
    <x v="95"/>
    <x v="3"/>
    <x v="0"/>
    <x v="3"/>
    <n v="46.84"/>
  </r>
  <r>
    <n v="8"/>
    <x v="0"/>
    <x v="96"/>
    <x v="11"/>
    <x v="2"/>
    <x v="0"/>
    <n v="51.82"/>
  </r>
  <r>
    <n v="8"/>
    <x v="0"/>
    <x v="96"/>
    <x v="11"/>
    <x v="2"/>
    <x v="1"/>
    <n v="45.02"/>
  </r>
  <r>
    <n v="8"/>
    <x v="0"/>
    <x v="96"/>
    <x v="11"/>
    <x v="2"/>
    <x v="2"/>
    <n v="49.44"/>
  </r>
  <r>
    <n v="8"/>
    <x v="0"/>
    <x v="96"/>
    <x v="11"/>
    <x v="2"/>
    <x v="3"/>
    <n v="51.32"/>
  </r>
  <r>
    <n v="8"/>
    <x v="0"/>
    <x v="97"/>
    <x v="0"/>
    <x v="2"/>
    <x v="0"/>
    <n v="52.85"/>
  </r>
  <r>
    <n v="8"/>
    <x v="0"/>
    <x v="97"/>
    <x v="0"/>
    <x v="2"/>
    <x v="1"/>
    <n v="40.840000000000003"/>
  </r>
  <r>
    <n v="8"/>
    <x v="0"/>
    <x v="97"/>
    <x v="0"/>
    <x v="2"/>
    <x v="2"/>
    <n v="64.45"/>
  </r>
  <r>
    <n v="8"/>
    <x v="0"/>
    <x v="97"/>
    <x v="0"/>
    <x v="2"/>
    <x v="3"/>
    <n v="44.43"/>
  </r>
  <r>
    <n v="8"/>
    <x v="0"/>
    <x v="98"/>
    <x v="22"/>
    <x v="2"/>
    <x v="0"/>
    <n v="56.64"/>
  </r>
  <r>
    <n v="8"/>
    <x v="0"/>
    <x v="98"/>
    <x v="22"/>
    <x v="2"/>
    <x v="1"/>
    <n v="46.06"/>
  </r>
  <r>
    <n v="8"/>
    <x v="0"/>
    <x v="98"/>
    <x v="22"/>
    <x v="2"/>
    <x v="2"/>
    <n v="55.46"/>
  </r>
  <r>
    <n v="8"/>
    <x v="0"/>
    <x v="98"/>
    <x v="22"/>
    <x v="2"/>
    <x v="3"/>
    <n v="51.41"/>
  </r>
  <r>
    <n v="8"/>
    <x v="0"/>
    <x v="99"/>
    <x v="7"/>
    <x v="0"/>
    <x v="0"/>
    <n v="49.67"/>
  </r>
  <r>
    <n v="8"/>
    <x v="0"/>
    <x v="99"/>
    <x v="7"/>
    <x v="0"/>
    <x v="1"/>
    <n v="49.98"/>
  </r>
  <r>
    <n v="8"/>
    <x v="0"/>
    <x v="99"/>
    <x v="7"/>
    <x v="0"/>
    <x v="2"/>
    <n v="49.5"/>
  </r>
  <r>
    <n v="8"/>
    <x v="0"/>
    <x v="99"/>
    <x v="7"/>
    <x v="0"/>
    <x v="3"/>
    <n v="47.35"/>
  </r>
  <r>
    <n v="8"/>
    <x v="0"/>
    <x v="100"/>
    <x v="23"/>
    <x v="0"/>
    <x v="0"/>
    <n v="50.26"/>
  </r>
  <r>
    <n v="8"/>
    <x v="0"/>
    <x v="100"/>
    <x v="23"/>
    <x v="0"/>
    <x v="1"/>
    <n v="52.05"/>
  </r>
  <r>
    <n v="8"/>
    <x v="0"/>
    <x v="100"/>
    <x v="23"/>
    <x v="0"/>
    <x v="2"/>
    <n v="51.14"/>
  </r>
  <r>
    <n v="8"/>
    <x v="0"/>
    <x v="100"/>
    <x v="23"/>
    <x v="0"/>
    <x v="3"/>
    <n v="46.3"/>
  </r>
  <r>
    <n v="8"/>
    <x v="0"/>
    <x v="101"/>
    <x v="1"/>
    <x v="2"/>
    <x v="0"/>
    <n v="56.99"/>
  </r>
  <r>
    <n v="8"/>
    <x v="0"/>
    <x v="101"/>
    <x v="1"/>
    <x v="2"/>
    <x v="1"/>
    <n v="45.57"/>
  </r>
  <r>
    <n v="8"/>
    <x v="0"/>
    <x v="101"/>
    <x v="1"/>
    <x v="2"/>
    <x v="2"/>
    <n v="45.92"/>
  </r>
  <r>
    <n v="8"/>
    <x v="0"/>
    <x v="101"/>
    <x v="1"/>
    <x v="2"/>
    <x v="3"/>
    <n v="50.52"/>
  </r>
  <r>
    <n v="8"/>
    <x v="0"/>
    <x v="102"/>
    <x v="5"/>
    <x v="1"/>
    <x v="0"/>
    <n v="32.61"/>
  </r>
  <r>
    <n v="8"/>
    <x v="0"/>
    <x v="102"/>
    <x v="5"/>
    <x v="1"/>
    <x v="1"/>
    <n v="57.27"/>
  </r>
  <r>
    <n v="8"/>
    <x v="0"/>
    <x v="102"/>
    <x v="5"/>
    <x v="1"/>
    <x v="2"/>
    <n v="37.32"/>
  </r>
  <r>
    <n v="8"/>
    <x v="0"/>
    <x v="102"/>
    <x v="5"/>
    <x v="1"/>
    <x v="3"/>
    <n v="41.22"/>
  </r>
  <r>
    <n v="8"/>
    <x v="0"/>
    <x v="103"/>
    <x v="3"/>
    <x v="1"/>
    <x v="0"/>
    <n v="39.729999999999997"/>
  </r>
  <r>
    <n v="8"/>
    <x v="0"/>
    <x v="103"/>
    <x v="3"/>
    <x v="1"/>
    <x v="1"/>
    <n v="50.3"/>
  </r>
  <r>
    <n v="8"/>
    <x v="0"/>
    <x v="103"/>
    <x v="3"/>
    <x v="1"/>
    <x v="2"/>
    <n v="40.159999999999997"/>
  </r>
  <r>
    <n v="8"/>
    <x v="0"/>
    <x v="103"/>
    <x v="3"/>
    <x v="1"/>
    <x v="3"/>
    <n v="41.37"/>
  </r>
  <r>
    <n v="8"/>
    <x v="0"/>
    <x v="104"/>
    <x v="20"/>
    <x v="0"/>
    <x v="0"/>
    <n v="54.79"/>
  </r>
  <r>
    <n v="8"/>
    <x v="0"/>
    <x v="104"/>
    <x v="20"/>
    <x v="0"/>
    <x v="1"/>
    <n v="52.39"/>
  </r>
  <r>
    <n v="8"/>
    <x v="0"/>
    <x v="104"/>
    <x v="20"/>
    <x v="0"/>
    <x v="2"/>
    <n v="42.15"/>
  </r>
  <r>
    <n v="8"/>
    <x v="0"/>
    <x v="104"/>
    <x v="20"/>
    <x v="0"/>
    <x v="3"/>
    <n v="49.63"/>
  </r>
  <r>
    <n v="8"/>
    <x v="0"/>
    <x v="105"/>
    <x v="3"/>
    <x v="2"/>
    <x v="0"/>
    <n v="54.95"/>
  </r>
  <r>
    <n v="8"/>
    <x v="0"/>
    <x v="105"/>
    <x v="3"/>
    <x v="2"/>
    <x v="1"/>
    <n v="55.78"/>
  </r>
  <r>
    <n v="8"/>
    <x v="0"/>
    <x v="105"/>
    <x v="3"/>
    <x v="2"/>
    <x v="2"/>
    <n v="46.49"/>
  </r>
  <r>
    <n v="8"/>
    <x v="0"/>
    <x v="105"/>
    <x v="3"/>
    <x v="2"/>
    <x v="3"/>
    <n v="56.84"/>
  </r>
  <r>
    <n v="8"/>
    <x v="0"/>
    <x v="106"/>
    <x v="16"/>
    <x v="0"/>
    <x v="0"/>
    <n v="48.06"/>
  </r>
  <r>
    <n v="8"/>
    <x v="0"/>
    <x v="106"/>
    <x v="16"/>
    <x v="0"/>
    <x v="1"/>
    <n v="51.09"/>
  </r>
  <r>
    <n v="8"/>
    <x v="0"/>
    <x v="106"/>
    <x v="16"/>
    <x v="0"/>
    <x v="2"/>
    <n v="44.19"/>
  </r>
  <r>
    <n v="8"/>
    <x v="0"/>
    <x v="106"/>
    <x v="16"/>
    <x v="0"/>
    <x v="3"/>
    <n v="49.52"/>
  </r>
  <r>
    <n v="9"/>
    <x v="0"/>
    <x v="107"/>
    <x v="12"/>
    <x v="2"/>
    <x v="0"/>
    <n v="65.11"/>
  </r>
  <r>
    <n v="9"/>
    <x v="0"/>
    <x v="107"/>
    <x v="12"/>
    <x v="2"/>
    <x v="1"/>
    <n v="54.38"/>
  </r>
  <r>
    <n v="9"/>
    <x v="0"/>
    <x v="107"/>
    <x v="12"/>
    <x v="2"/>
    <x v="2"/>
    <n v="57.14"/>
  </r>
  <r>
    <n v="9"/>
    <x v="0"/>
    <x v="107"/>
    <x v="12"/>
    <x v="2"/>
    <x v="3"/>
    <n v="49.91"/>
  </r>
  <r>
    <n v="9"/>
    <x v="0"/>
    <x v="108"/>
    <x v="16"/>
    <x v="1"/>
    <x v="0"/>
    <n v="48.76"/>
  </r>
  <r>
    <n v="9"/>
    <x v="0"/>
    <x v="108"/>
    <x v="16"/>
    <x v="1"/>
    <x v="1"/>
    <n v="44.14"/>
  </r>
  <r>
    <n v="9"/>
    <x v="0"/>
    <x v="108"/>
    <x v="16"/>
    <x v="1"/>
    <x v="2"/>
    <n v="58.1"/>
  </r>
  <r>
    <n v="9"/>
    <x v="0"/>
    <x v="108"/>
    <x v="16"/>
    <x v="1"/>
    <x v="3"/>
    <n v="44.16"/>
  </r>
  <r>
    <n v="9"/>
    <x v="0"/>
    <x v="109"/>
    <x v="4"/>
    <x v="0"/>
    <x v="0"/>
    <n v="44.66"/>
  </r>
  <r>
    <n v="9"/>
    <x v="0"/>
    <x v="109"/>
    <x v="4"/>
    <x v="0"/>
    <x v="1"/>
    <n v="53.78"/>
  </r>
  <r>
    <n v="9"/>
    <x v="0"/>
    <x v="109"/>
    <x v="4"/>
    <x v="0"/>
    <x v="2"/>
    <n v="43.91"/>
  </r>
  <r>
    <n v="9"/>
    <x v="0"/>
    <x v="109"/>
    <x v="4"/>
    <x v="0"/>
    <x v="3"/>
    <n v="52.41"/>
  </r>
  <r>
    <n v="9"/>
    <x v="0"/>
    <x v="110"/>
    <x v="3"/>
    <x v="2"/>
    <x v="0"/>
    <n v="50.54"/>
  </r>
  <r>
    <n v="9"/>
    <x v="0"/>
    <x v="110"/>
    <x v="3"/>
    <x v="2"/>
    <x v="1"/>
    <n v="58.43"/>
  </r>
  <r>
    <n v="9"/>
    <x v="0"/>
    <x v="110"/>
    <x v="3"/>
    <x v="2"/>
    <x v="2"/>
    <n v="59.77"/>
  </r>
  <r>
    <n v="9"/>
    <x v="0"/>
    <x v="110"/>
    <x v="3"/>
    <x v="2"/>
    <x v="3"/>
    <n v="60.44"/>
  </r>
  <r>
    <n v="9"/>
    <x v="0"/>
    <x v="111"/>
    <x v="6"/>
    <x v="0"/>
    <x v="0"/>
    <n v="50.94"/>
  </r>
  <r>
    <n v="9"/>
    <x v="0"/>
    <x v="111"/>
    <x v="6"/>
    <x v="0"/>
    <x v="1"/>
    <n v="49.38"/>
  </r>
  <r>
    <n v="9"/>
    <x v="0"/>
    <x v="111"/>
    <x v="6"/>
    <x v="0"/>
    <x v="2"/>
    <n v="63.98"/>
  </r>
  <r>
    <n v="9"/>
    <x v="0"/>
    <x v="111"/>
    <x v="6"/>
    <x v="0"/>
    <x v="3"/>
    <n v="45.84"/>
  </r>
  <r>
    <n v="9"/>
    <x v="0"/>
    <x v="112"/>
    <x v="1"/>
    <x v="0"/>
    <x v="0"/>
    <n v="51.01"/>
  </r>
  <r>
    <n v="9"/>
    <x v="0"/>
    <x v="112"/>
    <x v="1"/>
    <x v="0"/>
    <x v="1"/>
    <n v="56.16"/>
  </r>
  <r>
    <n v="9"/>
    <x v="0"/>
    <x v="112"/>
    <x v="1"/>
    <x v="0"/>
    <x v="2"/>
    <n v="45.77"/>
  </r>
  <r>
    <n v="9"/>
    <x v="0"/>
    <x v="112"/>
    <x v="1"/>
    <x v="0"/>
    <x v="3"/>
    <n v="46.47"/>
  </r>
  <r>
    <n v="9"/>
    <x v="0"/>
    <x v="113"/>
    <x v="3"/>
    <x v="1"/>
    <x v="0"/>
    <n v="46.02"/>
  </r>
  <r>
    <n v="9"/>
    <x v="0"/>
    <x v="113"/>
    <x v="3"/>
    <x v="1"/>
    <x v="1"/>
    <n v="51.09"/>
  </r>
  <r>
    <n v="9"/>
    <x v="0"/>
    <x v="113"/>
    <x v="3"/>
    <x v="1"/>
    <x v="2"/>
    <n v="51.68"/>
  </r>
  <r>
    <n v="9"/>
    <x v="0"/>
    <x v="113"/>
    <x v="3"/>
    <x v="1"/>
    <x v="3"/>
    <n v="55.91"/>
  </r>
  <r>
    <n v="9"/>
    <x v="0"/>
    <x v="114"/>
    <x v="24"/>
    <x v="0"/>
    <x v="0"/>
    <n v="55.9"/>
  </r>
  <r>
    <n v="9"/>
    <x v="0"/>
    <x v="114"/>
    <x v="24"/>
    <x v="0"/>
    <x v="1"/>
    <n v="59.8"/>
  </r>
  <r>
    <n v="9"/>
    <x v="0"/>
    <x v="114"/>
    <x v="24"/>
    <x v="0"/>
    <x v="2"/>
    <n v="60.97"/>
  </r>
  <r>
    <n v="9"/>
    <x v="0"/>
    <x v="114"/>
    <x v="24"/>
    <x v="0"/>
    <x v="3"/>
    <n v="64.14"/>
  </r>
  <r>
    <n v="9"/>
    <x v="0"/>
    <x v="115"/>
    <x v="16"/>
    <x v="0"/>
    <x v="0"/>
    <n v="39.979999999999997"/>
  </r>
  <r>
    <n v="9"/>
    <x v="0"/>
    <x v="115"/>
    <x v="16"/>
    <x v="0"/>
    <x v="1"/>
    <n v="54.58"/>
  </r>
  <r>
    <n v="9"/>
    <x v="0"/>
    <x v="115"/>
    <x v="16"/>
    <x v="0"/>
    <x v="2"/>
    <n v="52.64"/>
  </r>
  <r>
    <n v="9"/>
    <x v="0"/>
    <x v="115"/>
    <x v="16"/>
    <x v="0"/>
    <x v="3"/>
    <n v="45.43"/>
  </r>
  <r>
    <n v="9"/>
    <x v="0"/>
    <x v="116"/>
    <x v="11"/>
    <x v="2"/>
    <x v="0"/>
    <n v="49.3"/>
  </r>
  <r>
    <n v="9"/>
    <x v="0"/>
    <x v="116"/>
    <x v="11"/>
    <x v="2"/>
    <x v="1"/>
    <n v="61.8"/>
  </r>
  <r>
    <n v="9"/>
    <x v="0"/>
    <x v="116"/>
    <x v="11"/>
    <x v="2"/>
    <x v="2"/>
    <n v="58"/>
  </r>
  <r>
    <n v="9"/>
    <x v="0"/>
    <x v="116"/>
    <x v="11"/>
    <x v="2"/>
    <x v="3"/>
    <n v="55.2"/>
  </r>
  <r>
    <n v="10"/>
    <x v="2"/>
    <x v="117"/>
    <x v="13"/>
    <x v="1"/>
    <x v="0"/>
    <n v="53.76"/>
  </r>
  <r>
    <n v="10"/>
    <x v="2"/>
    <x v="117"/>
    <x v="13"/>
    <x v="1"/>
    <x v="1"/>
    <n v="39.36"/>
  </r>
  <r>
    <n v="10"/>
    <x v="2"/>
    <x v="117"/>
    <x v="13"/>
    <x v="1"/>
    <x v="2"/>
    <n v="47.2"/>
  </r>
  <r>
    <n v="10"/>
    <x v="2"/>
    <x v="117"/>
    <x v="13"/>
    <x v="1"/>
    <x v="3"/>
    <n v="53.66"/>
  </r>
  <r>
    <n v="10"/>
    <x v="2"/>
    <x v="118"/>
    <x v="3"/>
    <x v="2"/>
    <x v="0"/>
    <n v="61.53"/>
  </r>
  <r>
    <n v="10"/>
    <x v="2"/>
    <x v="118"/>
    <x v="3"/>
    <x v="2"/>
    <x v="1"/>
    <n v="59.17"/>
  </r>
  <r>
    <n v="10"/>
    <x v="2"/>
    <x v="118"/>
    <x v="3"/>
    <x v="2"/>
    <x v="2"/>
    <n v="63.73"/>
  </r>
  <r>
    <n v="10"/>
    <x v="2"/>
    <x v="118"/>
    <x v="3"/>
    <x v="2"/>
    <x v="3"/>
    <n v="61.77"/>
  </r>
  <r>
    <n v="10"/>
    <x v="2"/>
    <x v="119"/>
    <x v="13"/>
    <x v="0"/>
    <x v="0"/>
    <n v="51.89"/>
  </r>
  <r>
    <n v="10"/>
    <x v="2"/>
    <x v="119"/>
    <x v="13"/>
    <x v="0"/>
    <x v="1"/>
    <n v="51.17"/>
  </r>
  <r>
    <n v="10"/>
    <x v="2"/>
    <x v="119"/>
    <x v="13"/>
    <x v="0"/>
    <x v="2"/>
    <n v="54.33"/>
  </r>
  <r>
    <n v="10"/>
    <x v="2"/>
    <x v="119"/>
    <x v="13"/>
    <x v="0"/>
    <x v="3"/>
    <n v="50.05"/>
  </r>
  <r>
    <n v="10"/>
    <x v="2"/>
    <x v="120"/>
    <x v="4"/>
    <x v="1"/>
    <x v="0"/>
    <n v="51.09"/>
  </r>
  <r>
    <n v="10"/>
    <x v="2"/>
    <x v="120"/>
    <x v="4"/>
    <x v="1"/>
    <x v="1"/>
    <n v="54.82"/>
  </r>
  <r>
    <n v="10"/>
    <x v="2"/>
    <x v="120"/>
    <x v="4"/>
    <x v="1"/>
    <x v="2"/>
    <n v="44.16"/>
  </r>
  <r>
    <n v="10"/>
    <x v="2"/>
    <x v="120"/>
    <x v="4"/>
    <x v="1"/>
    <x v="3"/>
    <n v="53.95"/>
  </r>
  <r>
    <n v="10"/>
    <x v="2"/>
    <x v="121"/>
    <x v="14"/>
    <x v="0"/>
    <x v="0"/>
    <n v="54.34"/>
  </r>
  <r>
    <n v="10"/>
    <x v="2"/>
    <x v="121"/>
    <x v="14"/>
    <x v="0"/>
    <x v="1"/>
    <n v="60.24"/>
  </r>
  <r>
    <n v="10"/>
    <x v="2"/>
    <x v="121"/>
    <x v="14"/>
    <x v="0"/>
    <x v="2"/>
    <n v="56.39"/>
  </r>
  <r>
    <n v="10"/>
    <x v="2"/>
    <x v="121"/>
    <x v="14"/>
    <x v="0"/>
    <x v="3"/>
    <n v="58.33"/>
  </r>
  <r>
    <n v="10"/>
    <x v="2"/>
    <x v="122"/>
    <x v="11"/>
    <x v="1"/>
    <x v="0"/>
    <n v="51.26"/>
  </r>
  <r>
    <n v="10"/>
    <x v="2"/>
    <x v="122"/>
    <x v="11"/>
    <x v="1"/>
    <x v="1"/>
    <n v="51.73"/>
  </r>
  <r>
    <n v="10"/>
    <x v="2"/>
    <x v="122"/>
    <x v="11"/>
    <x v="1"/>
    <x v="2"/>
    <n v="51.35"/>
  </r>
  <r>
    <n v="10"/>
    <x v="2"/>
    <x v="122"/>
    <x v="11"/>
    <x v="1"/>
    <x v="3"/>
    <n v="41.85"/>
  </r>
  <r>
    <n v="10"/>
    <x v="2"/>
    <x v="123"/>
    <x v="4"/>
    <x v="1"/>
    <x v="0"/>
    <n v="45.21"/>
  </r>
  <r>
    <n v="10"/>
    <x v="2"/>
    <x v="123"/>
    <x v="4"/>
    <x v="1"/>
    <x v="1"/>
    <n v="55.02"/>
  </r>
  <r>
    <n v="10"/>
    <x v="2"/>
    <x v="123"/>
    <x v="4"/>
    <x v="1"/>
    <x v="2"/>
    <n v="45.35"/>
  </r>
  <r>
    <n v="10"/>
    <x v="2"/>
    <x v="123"/>
    <x v="4"/>
    <x v="1"/>
    <x v="3"/>
    <n v="47.06"/>
  </r>
  <r>
    <n v="10"/>
    <x v="2"/>
    <x v="124"/>
    <x v="12"/>
    <x v="1"/>
    <x v="0"/>
    <n v="43.59"/>
  </r>
  <r>
    <n v="10"/>
    <x v="2"/>
    <x v="124"/>
    <x v="12"/>
    <x v="1"/>
    <x v="1"/>
    <n v="46.03"/>
  </r>
  <r>
    <n v="10"/>
    <x v="2"/>
    <x v="124"/>
    <x v="12"/>
    <x v="1"/>
    <x v="2"/>
    <n v="47.22"/>
  </r>
  <r>
    <n v="10"/>
    <x v="2"/>
    <x v="124"/>
    <x v="12"/>
    <x v="1"/>
    <x v="3"/>
    <n v="51.41"/>
  </r>
  <r>
    <n v="10"/>
    <x v="2"/>
    <x v="125"/>
    <x v="3"/>
    <x v="2"/>
    <x v="0"/>
    <n v="58.19"/>
  </r>
  <r>
    <n v="10"/>
    <x v="2"/>
    <x v="125"/>
    <x v="3"/>
    <x v="2"/>
    <x v="1"/>
    <n v="62.72"/>
  </r>
  <r>
    <n v="10"/>
    <x v="2"/>
    <x v="125"/>
    <x v="3"/>
    <x v="2"/>
    <x v="2"/>
    <n v="66.66"/>
  </r>
  <r>
    <n v="10"/>
    <x v="2"/>
    <x v="125"/>
    <x v="3"/>
    <x v="2"/>
    <x v="3"/>
    <n v="64.66"/>
  </r>
  <r>
    <n v="10"/>
    <x v="2"/>
    <x v="126"/>
    <x v="3"/>
    <x v="2"/>
    <x v="0"/>
    <n v="66.34"/>
  </r>
  <r>
    <n v="10"/>
    <x v="2"/>
    <x v="126"/>
    <x v="3"/>
    <x v="2"/>
    <x v="1"/>
    <n v="60.59"/>
  </r>
  <r>
    <n v="10"/>
    <x v="2"/>
    <x v="126"/>
    <x v="3"/>
    <x v="2"/>
    <x v="2"/>
    <n v="61.95"/>
  </r>
  <r>
    <n v="10"/>
    <x v="2"/>
    <x v="126"/>
    <x v="3"/>
    <x v="2"/>
    <x v="3"/>
    <n v="67.84"/>
  </r>
  <r>
    <n v="10"/>
    <x v="2"/>
    <x v="127"/>
    <x v="3"/>
    <x v="1"/>
    <x v="0"/>
    <n v="55.39"/>
  </r>
  <r>
    <n v="10"/>
    <x v="2"/>
    <x v="127"/>
    <x v="3"/>
    <x v="1"/>
    <x v="1"/>
    <n v="49.16"/>
  </r>
  <r>
    <n v="10"/>
    <x v="2"/>
    <x v="127"/>
    <x v="3"/>
    <x v="1"/>
    <x v="2"/>
    <n v="58.26"/>
  </r>
  <r>
    <n v="10"/>
    <x v="2"/>
    <x v="127"/>
    <x v="3"/>
    <x v="1"/>
    <x v="3"/>
    <n v="48.12"/>
  </r>
  <r>
    <n v="10"/>
    <x v="2"/>
    <x v="128"/>
    <x v="6"/>
    <x v="1"/>
    <x v="0"/>
    <n v="49.98"/>
  </r>
  <r>
    <n v="10"/>
    <x v="2"/>
    <x v="128"/>
    <x v="6"/>
    <x v="1"/>
    <x v="1"/>
    <n v="44.84"/>
  </r>
  <r>
    <n v="10"/>
    <x v="2"/>
    <x v="128"/>
    <x v="6"/>
    <x v="1"/>
    <x v="2"/>
    <n v="55.12"/>
  </r>
  <r>
    <n v="10"/>
    <x v="2"/>
    <x v="128"/>
    <x v="6"/>
    <x v="1"/>
    <x v="3"/>
    <n v="47.36"/>
  </r>
  <r>
    <n v="10"/>
    <x v="2"/>
    <x v="129"/>
    <x v="20"/>
    <x v="2"/>
    <x v="0"/>
    <n v="62.33"/>
  </r>
  <r>
    <n v="10"/>
    <x v="2"/>
    <x v="129"/>
    <x v="20"/>
    <x v="2"/>
    <x v="1"/>
    <n v="53.68"/>
  </r>
  <r>
    <n v="10"/>
    <x v="2"/>
    <x v="129"/>
    <x v="20"/>
    <x v="2"/>
    <x v="2"/>
    <n v="62.37"/>
  </r>
  <r>
    <n v="10"/>
    <x v="2"/>
    <x v="129"/>
    <x v="20"/>
    <x v="2"/>
    <x v="3"/>
    <n v="63.58"/>
  </r>
  <r>
    <n v="10"/>
    <x v="2"/>
    <x v="130"/>
    <x v="16"/>
    <x v="1"/>
    <x v="0"/>
    <n v="44.7"/>
  </r>
  <r>
    <n v="10"/>
    <x v="2"/>
    <x v="130"/>
    <x v="16"/>
    <x v="1"/>
    <x v="1"/>
    <n v="43.44"/>
  </r>
  <r>
    <n v="10"/>
    <x v="2"/>
    <x v="130"/>
    <x v="16"/>
    <x v="1"/>
    <x v="2"/>
    <n v="52.36"/>
  </r>
  <r>
    <n v="10"/>
    <x v="2"/>
    <x v="130"/>
    <x v="16"/>
    <x v="1"/>
    <x v="3"/>
    <n v="45.9"/>
  </r>
  <r>
    <n v="10"/>
    <x v="2"/>
    <x v="131"/>
    <x v="12"/>
    <x v="2"/>
    <x v="0"/>
    <n v="53.51"/>
  </r>
  <r>
    <n v="10"/>
    <x v="2"/>
    <x v="131"/>
    <x v="12"/>
    <x v="2"/>
    <x v="1"/>
    <n v="49.76"/>
  </r>
  <r>
    <n v="10"/>
    <x v="2"/>
    <x v="131"/>
    <x v="12"/>
    <x v="2"/>
    <x v="2"/>
    <n v="68.31"/>
  </r>
  <r>
    <n v="10"/>
    <x v="2"/>
    <x v="131"/>
    <x v="12"/>
    <x v="2"/>
    <x v="3"/>
    <n v="66.099999999999994"/>
  </r>
  <r>
    <n v="10"/>
    <x v="2"/>
    <x v="132"/>
    <x v="13"/>
    <x v="1"/>
    <x v="0"/>
    <n v="43.61"/>
  </r>
  <r>
    <n v="10"/>
    <x v="2"/>
    <x v="132"/>
    <x v="13"/>
    <x v="1"/>
    <x v="1"/>
    <n v="46.2"/>
  </r>
  <r>
    <n v="10"/>
    <x v="2"/>
    <x v="132"/>
    <x v="13"/>
    <x v="1"/>
    <x v="2"/>
    <n v="51.52"/>
  </r>
  <r>
    <n v="10"/>
    <x v="2"/>
    <x v="132"/>
    <x v="13"/>
    <x v="1"/>
    <x v="3"/>
    <n v="49.71"/>
  </r>
  <r>
    <n v="10"/>
    <x v="2"/>
    <x v="133"/>
    <x v="19"/>
    <x v="0"/>
    <x v="0"/>
    <n v="53.5"/>
  </r>
  <r>
    <n v="10"/>
    <x v="2"/>
    <x v="133"/>
    <x v="19"/>
    <x v="0"/>
    <x v="1"/>
    <n v="56.34"/>
  </r>
  <r>
    <n v="10"/>
    <x v="2"/>
    <x v="133"/>
    <x v="19"/>
    <x v="0"/>
    <x v="2"/>
    <n v="51.83"/>
  </r>
  <r>
    <n v="10"/>
    <x v="2"/>
    <x v="133"/>
    <x v="19"/>
    <x v="0"/>
    <x v="3"/>
    <n v="50.2"/>
  </r>
  <r>
    <n v="10"/>
    <x v="2"/>
    <x v="134"/>
    <x v="6"/>
    <x v="2"/>
    <x v="0"/>
    <n v="49.62"/>
  </r>
  <r>
    <n v="10"/>
    <x v="2"/>
    <x v="134"/>
    <x v="6"/>
    <x v="2"/>
    <x v="1"/>
    <n v="62.54"/>
  </r>
  <r>
    <n v="10"/>
    <x v="2"/>
    <x v="134"/>
    <x v="6"/>
    <x v="2"/>
    <x v="2"/>
    <n v="50.11"/>
  </r>
  <r>
    <n v="10"/>
    <x v="2"/>
    <x v="134"/>
    <x v="6"/>
    <x v="2"/>
    <x v="3"/>
    <n v="61.63"/>
  </r>
  <r>
    <n v="10"/>
    <x v="2"/>
    <x v="135"/>
    <x v="14"/>
    <x v="2"/>
    <x v="0"/>
    <n v="59.87"/>
  </r>
  <r>
    <n v="10"/>
    <x v="2"/>
    <x v="135"/>
    <x v="14"/>
    <x v="2"/>
    <x v="1"/>
    <n v="62.99"/>
  </r>
  <r>
    <n v="10"/>
    <x v="2"/>
    <x v="135"/>
    <x v="14"/>
    <x v="2"/>
    <x v="2"/>
    <n v="57.2"/>
  </r>
  <r>
    <n v="10"/>
    <x v="2"/>
    <x v="135"/>
    <x v="14"/>
    <x v="2"/>
    <x v="3"/>
    <n v="64.34"/>
  </r>
  <r>
    <n v="10"/>
    <x v="2"/>
    <x v="136"/>
    <x v="19"/>
    <x v="1"/>
    <x v="0"/>
    <n v="50.2"/>
  </r>
  <r>
    <n v="10"/>
    <x v="2"/>
    <x v="136"/>
    <x v="19"/>
    <x v="1"/>
    <x v="1"/>
    <n v="45.75"/>
  </r>
  <r>
    <n v="10"/>
    <x v="2"/>
    <x v="136"/>
    <x v="19"/>
    <x v="1"/>
    <x v="2"/>
    <n v="44.29"/>
  </r>
  <r>
    <n v="10"/>
    <x v="2"/>
    <x v="136"/>
    <x v="19"/>
    <x v="1"/>
    <x v="3"/>
    <n v="49.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BA0EC3-EB28-4E19-997E-390D326479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6" firstHeaderRow="1" firstDataRow="1" firstDataCol="1"/>
  <pivotFields count="7">
    <pivotField showAll="0"/>
    <pivotField showAll="0">
      <items count="4">
        <item x="2"/>
        <item x="0"/>
        <item x="1"/>
        <item t="default"/>
      </items>
    </pivotField>
    <pivotField showAll="0"/>
    <pivotField showAll="0">
      <items count="10">
        <item x="0"/>
        <item x="1"/>
        <item x="2"/>
        <item x="3"/>
        <item x="4"/>
        <item x="5"/>
        <item x="6"/>
        <item x="7"/>
        <item x="8"/>
        <item t="default"/>
      </items>
    </pivotField>
    <pivotField axis="axisRow" showAll="0">
      <items count="4">
        <item x="2"/>
        <item x="1"/>
        <item x="0"/>
        <item t="default"/>
      </items>
    </pivotField>
    <pivotField showAll="0"/>
    <pivotField dataField="1" showAll="0"/>
  </pivotFields>
  <rowFields count="1">
    <field x="4"/>
  </rowFields>
  <rowItems count="4">
    <i>
      <x/>
    </i>
    <i>
      <x v="1"/>
    </i>
    <i>
      <x v="2"/>
    </i>
    <i t="grand">
      <x/>
    </i>
  </rowItems>
  <colItems count="1">
    <i/>
  </colItems>
  <dataFields count="1">
    <dataField name="Total Sales ($k)" fld="6" baseField="0" baseItem="0" numFmtId="164"/>
  </dataFields>
  <formats count="2">
    <format dxfId="1">
      <pivotArea outline="0" collapsedLevelsAreSubtotals="1"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A61A69-7DE9-46E7-B059-AA5A22E639A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W13" firstHeaderRow="1" firstDataRow="1" firstDataCol="1"/>
  <pivotFields count="7">
    <pivotField showAll="0"/>
    <pivotField showAll="0">
      <items count="4">
        <item x="2"/>
        <item x="0"/>
        <item x="1"/>
        <item t="default"/>
      </items>
    </pivotField>
    <pivotField axis="axisRow" showAll="0" measureFilter="1" sortType="descending">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dataField="1" showAll="0"/>
  </pivotFields>
  <rowFields count="1">
    <field x="2"/>
  </rowFields>
  <rowItems count="11">
    <i>
      <x v="27"/>
    </i>
    <i>
      <x v="36"/>
    </i>
    <i>
      <x v="38"/>
    </i>
    <i>
      <x v="28"/>
    </i>
    <i>
      <x v="26"/>
    </i>
    <i>
      <x v="20"/>
    </i>
    <i>
      <x v="32"/>
    </i>
    <i>
      <x v="23"/>
    </i>
    <i>
      <x v="40"/>
    </i>
    <i>
      <x v="25"/>
    </i>
    <i t="grand">
      <x/>
    </i>
  </rowItems>
  <colItems count="1">
    <i/>
  </colItems>
  <dataFields count="1">
    <dataField name="Sum of SalesInThousands" fld="6"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8190EE-5A24-4726-BFAF-9485627D148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T11" firstHeaderRow="1" firstDataRow="2" firstDataCol="1"/>
  <pivotFields count="7">
    <pivotField showAll="0"/>
    <pivotField showAll="0">
      <items count="4">
        <item x="2"/>
        <item x="0"/>
        <item x="1"/>
        <item t="default"/>
      </items>
    </pivotField>
    <pivotField showAll="0"/>
    <pivotField axis="axisRow" showAll="0">
      <items count="10">
        <item x="0"/>
        <item x="1"/>
        <item x="2"/>
        <item x="3"/>
        <item x="4"/>
        <item x="5"/>
        <item x="6"/>
        <item x="7"/>
        <item x="8"/>
        <item t="default"/>
      </items>
    </pivotField>
    <pivotField axis="axisCol" showAll="0">
      <items count="4">
        <item x="2"/>
        <item x="1"/>
        <item x="0"/>
        <item t="default"/>
      </items>
    </pivotField>
    <pivotField showAll="0"/>
    <pivotField dataField="1" showAll="0"/>
  </pivotFields>
  <rowFields count="1">
    <field x="3"/>
  </rowFields>
  <rowItems count="8">
    <i>
      <x v="1"/>
    </i>
    <i>
      <x v="2"/>
    </i>
    <i>
      <x v="3"/>
    </i>
    <i>
      <x v="4"/>
    </i>
    <i>
      <x v="5"/>
    </i>
    <i>
      <x v="6"/>
    </i>
    <i>
      <x v="7"/>
    </i>
    <i t="grand">
      <x/>
    </i>
  </rowItems>
  <colFields count="1">
    <field x="4"/>
  </colFields>
  <colItems count="4">
    <i>
      <x/>
    </i>
    <i>
      <x v="1"/>
    </i>
    <i>
      <x v="2"/>
    </i>
    <i t="grand">
      <x/>
    </i>
  </colItems>
  <dataFields count="1">
    <dataField name="Average of SalesInThousands"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8073A9-CDBA-4B2D-84B8-A46DBC842C1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N8" firstHeaderRow="1" firstDataRow="2" firstDataCol="1"/>
  <pivotFields count="7">
    <pivotField showAll="0"/>
    <pivotField showAll="0">
      <items count="4">
        <item x="2"/>
        <item x="0"/>
        <item x="1"/>
        <item t="default"/>
      </items>
    </pivotField>
    <pivotField showAll="0"/>
    <pivotField showAll="0">
      <items count="10">
        <item x="0"/>
        <item x="1"/>
        <item x="2"/>
        <item x="3"/>
        <item x="4"/>
        <item x="5"/>
        <item x="6"/>
        <item x="7"/>
        <item x="8"/>
        <item t="default"/>
      </items>
    </pivotField>
    <pivotField axis="axisCol" showAll="0">
      <items count="4">
        <item x="2"/>
        <item x="1"/>
        <item x="0"/>
        <item t="default"/>
      </items>
    </pivotField>
    <pivotField axis="axisRow" showAll="0">
      <items count="5">
        <item x="0"/>
        <item x="1"/>
        <item x="2"/>
        <item x="3"/>
        <item t="default"/>
      </items>
    </pivotField>
    <pivotField dataField="1" showAll="0"/>
  </pivotFields>
  <rowFields count="1">
    <field x="5"/>
  </rowFields>
  <rowItems count="5">
    <i>
      <x/>
    </i>
    <i>
      <x v="1"/>
    </i>
    <i>
      <x v="2"/>
    </i>
    <i>
      <x v="3"/>
    </i>
    <i t="grand">
      <x/>
    </i>
  </rowItems>
  <colFields count="1">
    <field x="4"/>
  </colFields>
  <colItems count="4">
    <i>
      <x/>
    </i>
    <i>
      <x v="1"/>
    </i>
    <i>
      <x v="2"/>
    </i>
    <i t="grand">
      <x/>
    </i>
  </colItems>
  <dataFields count="1">
    <dataField name="Avg Weekly Sales ($k)" fld="6" subtotal="average" baseField="0" baseItem="0"/>
  </dataFields>
  <chartFormats count="1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0"/>
          </reference>
        </references>
      </pivotArea>
    </chartFormat>
    <chartFormat chart="1" format="4" series="1">
      <pivotArea type="data" outline="0" fieldPosition="0">
        <references count="2">
          <reference field="4294967294" count="1" selected="0">
            <x v="0"/>
          </reference>
          <reference field="4" count="1" selected="0">
            <x v="1"/>
          </reference>
        </references>
      </pivotArea>
    </chartFormat>
    <chartFormat chart="1" format="5" series="1">
      <pivotArea type="data" outline="0" fieldPosition="0">
        <references count="2">
          <reference field="4294967294" count="1" selected="0">
            <x v="0"/>
          </reference>
          <reference field="4" count="1" selected="0">
            <x v="2"/>
          </reference>
        </references>
      </pivotArea>
    </chartFormat>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0"/>
          </reference>
          <reference field="4" count="1" selected="0">
            <x v="1"/>
          </reference>
        </references>
      </pivotArea>
    </chartFormat>
    <chartFormat chart="2" format="8" series="1">
      <pivotArea type="data" outline="0" fieldPosition="0">
        <references count="2">
          <reference field="4294967294" count="1" selected="0">
            <x v="0"/>
          </reference>
          <reference field="4" count="1" selected="0">
            <x v="2"/>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AD11F4-C21A-4C8B-9B3D-25316A7F0F2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H7" firstHeaderRow="1" firstDataRow="2" firstDataCol="1"/>
  <pivotFields count="7">
    <pivotField showAll="0"/>
    <pivotField axis="axisCol" showAll="0">
      <items count="4">
        <item x="2"/>
        <item x="0"/>
        <item x="1"/>
        <item t="default"/>
      </items>
    </pivotField>
    <pivotField showAll="0"/>
    <pivotField showAll="0">
      <items count="10">
        <item x="0"/>
        <item x="1"/>
        <item x="2"/>
        <item x="3"/>
        <item x="4"/>
        <item x="5"/>
        <item x="6"/>
        <item x="7"/>
        <item x="8"/>
        <item t="default"/>
      </items>
    </pivotField>
    <pivotField axis="axisRow" showAll="0">
      <items count="4">
        <item x="2"/>
        <item x="1"/>
        <item x="0"/>
        <item t="default"/>
      </items>
    </pivotField>
    <pivotField showAll="0"/>
    <pivotField dataField="1" showAll="0"/>
  </pivotFields>
  <rowFields count="1">
    <field x="4"/>
  </rowFields>
  <rowItems count="4">
    <i>
      <x/>
    </i>
    <i>
      <x v="1"/>
    </i>
    <i>
      <x v="2"/>
    </i>
    <i t="grand">
      <x/>
    </i>
  </rowItems>
  <colFields count="1">
    <field x="1"/>
  </colFields>
  <colItems count="4">
    <i>
      <x/>
    </i>
    <i>
      <x v="1"/>
    </i>
    <i>
      <x v="2"/>
    </i>
    <i t="grand">
      <x/>
    </i>
  </colItems>
  <dataFields count="1">
    <dataField name="Sum of SalesInThousands" fld="6" baseField="0" baseItem="0"/>
  </dataField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Size" xr10:uid="{7B3FB106-0810-4159-B30D-A6C849EAED16}" sourceName="MarketSize">
  <pivotTables>
    <pivotTable tabId="3" name="PivotTable4"/>
    <pivotTable tabId="3" name="PivotTable10"/>
    <pivotTable tabId="3" name="PivotTable7"/>
    <pivotTable tabId="3" name="PivotTable8"/>
    <pivotTable tabId="3" name="PivotTable9"/>
  </pivotTables>
  <data>
    <tabular pivotCacheId="143170534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 xr10:uid="{6EDA5C2A-D7F9-40F0-892B-50FA3AB9598B}" sourceName="Promotion">
  <pivotTables>
    <pivotTable tabId="3" name="PivotTable4"/>
    <pivotTable tabId="3" name="PivotTable10"/>
    <pivotTable tabId="3" name="PivotTable7"/>
    <pivotTable tabId="3" name="PivotTable8"/>
    <pivotTable tabId="3" name="PivotTable9"/>
  </pivotTables>
  <data>
    <tabular pivotCacheId="143170534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Size" xr10:uid="{152786F8-8089-4622-B521-B3681FCE2EA5}" cache="Slicer_MarketSize" caption="MarketSize" rowHeight="234950"/>
  <slicer name="Promotion" xr10:uid="{5919D351-B314-4CC3-94C7-D495B8D87FC9}" cache="Slicer_Promotion" caption="Promo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G549"/>
  <sheetViews>
    <sheetView workbookViewId="0">
      <selection activeCell="C26" sqref="C26"/>
    </sheetView>
  </sheetViews>
  <sheetFormatPr defaultRowHeight="14.4" x14ac:dyDescent="0.3"/>
  <cols>
    <col min="1" max="1" width="16.44140625" customWidth="1"/>
    <col min="2" max="2" width="15.21875" customWidth="1"/>
    <col min="3" max="3" width="15.33203125" customWidth="1"/>
    <col min="4" max="4" width="12.6640625" customWidth="1"/>
    <col min="5" max="5" width="14.21875" customWidth="1"/>
    <col min="6" max="6" width="10.21875" customWidth="1"/>
    <col min="7" max="7" width="15.109375" customWidth="1"/>
  </cols>
  <sheetData>
    <row r="1" spans="1:7" x14ac:dyDescent="0.3">
      <c r="A1" s="1" t="s">
        <v>0</v>
      </c>
      <c r="B1" s="1" t="s">
        <v>1</v>
      </c>
      <c r="C1" s="1" t="s">
        <v>2</v>
      </c>
      <c r="D1" s="1" t="s">
        <v>3</v>
      </c>
      <c r="E1" s="1" t="s">
        <v>4</v>
      </c>
      <c r="F1" s="1" t="s">
        <v>5</v>
      </c>
      <c r="G1" s="1" t="s">
        <v>6</v>
      </c>
    </row>
    <row r="2" spans="1:7" x14ac:dyDescent="0.3">
      <c r="A2">
        <v>1</v>
      </c>
      <c r="B2" t="s">
        <v>7</v>
      </c>
      <c r="C2">
        <v>1</v>
      </c>
      <c r="D2">
        <v>4</v>
      </c>
      <c r="E2">
        <v>3</v>
      </c>
      <c r="F2">
        <v>1</v>
      </c>
      <c r="G2">
        <v>33.729999999999997</v>
      </c>
    </row>
    <row r="3" spans="1:7" x14ac:dyDescent="0.3">
      <c r="A3">
        <v>1</v>
      </c>
      <c r="B3" t="s">
        <v>7</v>
      </c>
      <c r="C3">
        <v>1</v>
      </c>
      <c r="D3">
        <v>4</v>
      </c>
      <c r="E3">
        <v>3</v>
      </c>
      <c r="F3">
        <v>2</v>
      </c>
      <c r="G3">
        <v>35.67</v>
      </c>
    </row>
    <row r="4" spans="1:7" x14ac:dyDescent="0.3">
      <c r="A4">
        <v>1</v>
      </c>
      <c r="B4" t="s">
        <v>7</v>
      </c>
      <c r="C4">
        <v>1</v>
      </c>
      <c r="D4">
        <v>4</v>
      </c>
      <c r="E4">
        <v>3</v>
      </c>
      <c r="F4">
        <v>3</v>
      </c>
      <c r="G4">
        <v>29.03</v>
      </c>
    </row>
    <row r="5" spans="1:7" x14ac:dyDescent="0.3">
      <c r="A5">
        <v>1</v>
      </c>
      <c r="B5" t="s">
        <v>7</v>
      </c>
      <c r="C5">
        <v>1</v>
      </c>
      <c r="D5">
        <v>4</v>
      </c>
      <c r="E5">
        <v>3</v>
      </c>
      <c r="F5">
        <v>4</v>
      </c>
      <c r="G5">
        <v>39.25</v>
      </c>
    </row>
    <row r="6" spans="1:7" x14ac:dyDescent="0.3">
      <c r="A6">
        <v>1</v>
      </c>
      <c r="B6" t="s">
        <v>7</v>
      </c>
      <c r="C6">
        <v>2</v>
      </c>
      <c r="D6">
        <v>5</v>
      </c>
      <c r="E6">
        <v>2</v>
      </c>
      <c r="F6">
        <v>1</v>
      </c>
      <c r="G6">
        <v>27.81</v>
      </c>
    </row>
    <row r="7" spans="1:7" x14ac:dyDescent="0.3">
      <c r="A7">
        <v>1</v>
      </c>
      <c r="B7" t="s">
        <v>7</v>
      </c>
      <c r="C7">
        <v>2</v>
      </c>
      <c r="D7">
        <v>5</v>
      </c>
      <c r="E7">
        <v>2</v>
      </c>
      <c r="F7">
        <v>2</v>
      </c>
      <c r="G7">
        <v>34.67</v>
      </c>
    </row>
    <row r="8" spans="1:7" x14ac:dyDescent="0.3">
      <c r="A8">
        <v>1</v>
      </c>
      <c r="B8" t="s">
        <v>7</v>
      </c>
      <c r="C8">
        <v>2</v>
      </c>
      <c r="D8">
        <v>5</v>
      </c>
      <c r="E8">
        <v>2</v>
      </c>
      <c r="F8">
        <v>3</v>
      </c>
      <c r="G8">
        <v>27.98</v>
      </c>
    </row>
    <row r="9" spans="1:7" x14ac:dyDescent="0.3">
      <c r="A9">
        <v>1</v>
      </c>
      <c r="B9" t="s">
        <v>7</v>
      </c>
      <c r="C9">
        <v>2</v>
      </c>
      <c r="D9">
        <v>5</v>
      </c>
      <c r="E9">
        <v>2</v>
      </c>
      <c r="F9">
        <v>4</v>
      </c>
      <c r="G9">
        <v>27.72</v>
      </c>
    </row>
    <row r="10" spans="1:7" x14ac:dyDescent="0.3">
      <c r="A10">
        <v>1</v>
      </c>
      <c r="B10" t="s">
        <v>7</v>
      </c>
      <c r="C10">
        <v>3</v>
      </c>
      <c r="D10">
        <v>12</v>
      </c>
      <c r="E10">
        <v>1</v>
      </c>
      <c r="F10">
        <v>1</v>
      </c>
      <c r="G10">
        <v>44.54</v>
      </c>
    </row>
    <row r="11" spans="1:7" x14ac:dyDescent="0.3">
      <c r="A11">
        <v>1</v>
      </c>
      <c r="B11" t="s">
        <v>7</v>
      </c>
      <c r="C11">
        <v>3</v>
      </c>
      <c r="D11">
        <v>12</v>
      </c>
      <c r="E11">
        <v>1</v>
      </c>
      <c r="F11">
        <v>2</v>
      </c>
      <c r="G11">
        <v>37.94</v>
      </c>
    </row>
    <row r="12" spans="1:7" x14ac:dyDescent="0.3">
      <c r="A12">
        <v>1</v>
      </c>
      <c r="B12" t="s">
        <v>7</v>
      </c>
      <c r="C12">
        <v>3</v>
      </c>
      <c r="D12">
        <v>12</v>
      </c>
      <c r="E12">
        <v>1</v>
      </c>
      <c r="F12">
        <v>3</v>
      </c>
      <c r="G12">
        <v>45.49</v>
      </c>
    </row>
    <row r="13" spans="1:7" x14ac:dyDescent="0.3">
      <c r="A13">
        <v>1</v>
      </c>
      <c r="B13" t="s">
        <v>7</v>
      </c>
      <c r="C13">
        <v>3</v>
      </c>
      <c r="D13">
        <v>12</v>
      </c>
      <c r="E13">
        <v>1</v>
      </c>
      <c r="F13">
        <v>4</v>
      </c>
      <c r="G13">
        <v>34.75</v>
      </c>
    </row>
    <row r="14" spans="1:7" x14ac:dyDescent="0.3">
      <c r="A14">
        <v>1</v>
      </c>
      <c r="B14" t="s">
        <v>7</v>
      </c>
      <c r="C14">
        <v>4</v>
      </c>
      <c r="D14">
        <v>1</v>
      </c>
      <c r="E14">
        <v>2</v>
      </c>
      <c r="F14">
        <v>1</v>
      </c>
      <c r="G14">
        <v>39.28</v>
      </c>
    </row>
    <row r="15" spans="1:7" x14ac:dyDescent="0.3">
      <c r="A15">
        <v>1</v>
      </c>
      <c r="B15" t="s">
        <v>7</v>
      </c>
      <c r="C15">
        <v>4</v>
      </c>
      <c r="D15">
        <v>1</v>
      </c>
      <c r="E15">
        <v>2</v>
      </c>
      <c r="F15">
        <v>2</v>
      </c>
      <c r="G15">
        <v>39.799999999999997</v>
      </c>
    </row>
    <row r="16" spans="1:7" x14ac:dyDescent="0.3">
      <c r="A16">
        <v>1</v>
      </c>
      <c r="B16" t="s">
        <v>7</v>
      </c>
      <c r="C16">
        <v>4</v>
      </c>
      <c r="D16">
        <v>1</v>
      </c>
      <c r="E16">
        <v>2</v>
      </c>
      <c r="F16">
        <v>3</v>
      </c>
      <c r="G16">
        <v>24.77</v>
      </c>
    </row>
    <row r="17" spans="1:7" x14ac:dyDescent="0.3">
      <c r="A17">
        <v>1</v>
      </c>
      <c r="B17" t="s">
        <v>7</v>
      </c>
      <c r="C17">
        <v>4</v>
      </c>
      <c r="D17">
        <v>1</v>
      </c>
      <c r="E17">
        <v>2</v>
      </c>
      <c r="F17">
        <v>4</v>
      </c>
      <c r="G17">
        <v>30.98</v>
      </c>
    </row>
    <row r="18" spans="1:7" x14ac:dyDescent="0.3">
      <c r="A18">
        <v>1</v>
      </c>
      <c r="B18" t="s">
        <v>7</v>
      </c>
      <c r="C18">
        <v>5</v>
      </c>
      <c r="D18">
        <v>10</v>
      </c>
      <c r="E18">
        <v>2</v>
      </c>
      <c r="F18">
        <v>1</v>
      </c>
      <c r="G18">
        <v>30.37</v>
      </c>
    </row>
    <row r="19" spans="1:7" x14ac:dyDescent="0.3">
      <c r="A19">
        <v>1</v>
      </c>
      <c r="B19" t="s">
        <v>7</v>
      </c>
      <c r="C19">
        <v>5</v>
      </c>
      <c r="D19">
        <v>10</v>
      </c>
      <c r="E19">
        <v>2</v>
      </c>
      <c r="F19">
        <v>2</v>
      </c>
      <c r="G19">
        <v>24.82</v>
      </c>
    </row>
    <row r="20" spans="1:7" x14ac:dyDescent="0.3">
      <c r="A20">
        <v>1</v>
      </c>
      <c r="B20" t="s">
        <v>7</v>
      </c>
      <c r="C20">
        <v>5</v>
      </c>
      <c r="D20">
        <v>10</v>
      </c>
      <c r="E20">
        <v>2</v>
      </c>
      <c r="F20">
        <v>3</v>
      </c>
      <c r="G20">
        <v>37.47</v>
      </c>
    </row>
    <row r="21" spans="1:7" x14ac:dyDescent="0.3">
      <c r="A21">
        <v>1</v>
      </c>
      <c r="B21" t="s">
        <v>7</v>
      </c>
      <c r="C21">
        <v>5</v>
      </c>
      <c r="D21">
        <v>10</v>
      </c>
      <c r="E21">
        <v>2</v>
      </c>
      <c r="F21">
        <v>4</v>
      </c>
      <c r="G21">
        <v>23.35</v>
      </c>
    </row>
    <row r="22" spans="1:7" x14ac:dyDescent="0.3">
      <c r="A22">
        <v>1</v>
      </c>
      <c r="B22" t="s">
        <v>7</v>
      </c>
      <c r="C22">
        <v>6</v>
      </c>
      <c r="D22">
        <v>10</v>
      </c>
      <c r="E22">
        <v>3</v>
      </c>
      <c r="F22">
        <v>1</v>
      </c>
      <c r="G22">
        <v>32.9</v>
      </c>
    </row>
    <row r="23" spans="1:7" x14ac:dyDescent="0.3">
      <c r="A23">
        <v>1</v>
      </c>
      <c r="B23" t="s">
        <v>7</v>
      </c>
      <c r="C23">
        <v>6</v>
      </c>
      <c r="D23">
        <v>10</v>
      </c>
      <c r="E23">
        <v>3</v>
      </c>
      <c r="F23">
        <v>2</v>
      </c>
      <c r="G23">
        <v>22.18</v>
      </c>
    </row>
    <row r="24" spans="1:7" x14ac:dyDescent="0.3">
      <c r="A24">
        <v>1</v>
      </c>
      <c r="B24" t="s">
        <v>7</v>
      </c>
      <c r="C24">
        <v>6</v>
      </c>
      <c r="D24">
        <v>10</v>
      </c>
      <c r="E24">
        <v>3</v>
      </c>
      <c r="F24">
        <v>3</v>
      </c>
      <c r="G24">
        <v>42.98</v>
      </c>
    </row>
    <row r="25" spans="1:7" x14ac:dyDescent="0.3">
      <c r="A25">
        <v>1</v>
      </c>
      <c r="B25" t="s">
        <v>7</v>
      </c>
      <c r="C25">
        <v>6</v>
      </c>
      <c r="D25">
        <v>10</v>
      </c>
      <c r="E25">
        <v>3</v>
      </c>
      <c r="F25">
        <v>4</v>
      </c>
      <c r="G25">
        <v>26.68</v>
      </c>
    </row>
    <row r="26" spans="1:7" x14ac:dyDescent="0.3">
      <c r="A26">
        <v>1</v>
      </c>
      <c r="B26" t="s">
        <v>7</v>
      </c>
      <c r="C26">
        <v>7</v>
      </c>
      <c r="D26">
        <v>15</v>
      </c>
      <c r="E26">
        <v>1</v>
      </c>
      <c r="F26">
        <v>1</v>
      </c>
      <c r="G26">
        <v>42.92</v>
      </c>
    </row>
    <row r="27" spans="1:7" x14ac:dyDescent="0.3">
      <c r="A27">
        <v>1</v>
      </c>
      <c r="B27" t="s">
        <v>7</v>
      </c>
      <c r="C27">
        <v>7</v>
      </c>
      <c r="D27">
        <v>15</v>
      </c>
      <c r="E27">
        <v>1</v>
      </c>
      <c r="F27">
        <v>2</v>
      </c>
      <c r="G27">
        <v>42.16</v>
      </c>
    </row>
    <row r="28" spans="1:7" x14ac:dyDescent="0.3">
      <c r="A28">
        <v>1</v>
      </c>
      <c r="B28" t="s">
        <v>7</v>
      </c>
      <c r="C28">
        <v>7</v>
      </c>
      <c r="D28">
        <v>15</v>
      </c>
      <c r="E28">
        <v>1</v>
      </c>
      <c r="F28">
        <v>3</v>
      </c>
      <c r="G28">
        <v>51.72</v>
      </c>
    </row>
    <row r="29" spans="1:7" x14ac:dyDescent="0.3">
      <c r="A29">
        <v>1</v>
      </c>
      <c r="B29" t="s">
        <v>7</v>
      </c>
      <c r="C29">
        <v>7</v>
      </c>
      <c r="D29">
        <v>15</v>
      </c>
      <c r="E29">
        <v>1</v>
      </c>
      <c r="F29">
        <v>4</v>
      </c>
      <c r="G29">
        <v>36.17</v>
      </c>
    </row>
    <row r="30" spans="1:7" x14ac:dyDescent="0.3">
      <c r="A30">
        <v>1</v>
      </c>
      <c r="B30" t="s">
        <v>7</v>
      </c>
      <c r="C30">
        <v>8</v>
      </c>
      <c r="D30">
        <v>10</v>
      </c>
      <c r="E30">
        <v>2</v>
      </c>
      <c r="F30">
        <v>1</v>
      </c>
      <c r="G30">
        <v>30.08</v>
      </c>
    </row>
    <row r="31" spans="1:7" x14ac:dyDescent="0.3">
      <c r="A31">
        <v>1</v>
      </c>
      <c r="B31" t="s">
        <v>7</v>
      </c>
      <c r="C31">
        <v>8</v>
      </c>
      <c r="D31">
        <v>10</v>
      </c>
      <c r="E31">
        <v>2</v>
      </c>
      <c r="F31">
        <v>2</v>
      </c>
      <c r="G31">
        <v>28.62</v>
      </c>
    </row>
    <row r="32" spans="1:7" x14ac:dyDescent="0.3">
      <c r="A32">
        <v>1</v>
      </c>
      <c r="B32" t="s">
        <v>7</v>
      </c>
      <c r="C32">
        <v>8</v>
      </c>
      <c r="D32">
        <v>10</v>
      </c>
      <c r="E32">
        <v>2</v>
      </c>
      <c r="F32">
        <v>3</v>
      </c>
      <c r="G32">
        <v>25.4</v>
      </c>
    </row>
    <row r="33" spans="1:7" x14ac:dyDescent="0.3">
      <c r="A33">
        <v>1</v>
      </c>
      <c r="B33" t="s">
        <v>7</v>
      </c>
      <c r="C33">
        <v>8</v>
      </c>
      <c r="D33">
        <v>10</v>
      </c>
      <c r="E33">
        <v>2</v>
      </c>
      <c r="F33">
        <v>4</v>
      </c>
      <c r="G33">
        <v>27.26</v>
      </c>
    </row>
    <row r="34" spans="1:7" x14ac:dyDescent="0.3">
      <c r="A34">
        <v>1</v>
      </c>
      <c r="B34" t="s">
        <v>7</v>
      </c>
      <c r="C34">
        <v>9</v>
      </c>
      <c r="D34">
        <v>6</v>
      </c>
      <c r="E34">
        <v>1</v>
      </c>
      <c r="F34">
        <v>1</v>
      </c>
      <c r="G34">
        <v>37.409999999999997</v>
      </c>
    </row>
    <row r="35" spans="1:7" x14ac:dyDescent="0.3">
      <c r="A35">
        <v>1</v>
      </c>
      <c r="B35" t="s">
        <v>7</v>
      </c>
      <c r="C35">
        <v>9</v>
      </c>
      <c r="D35">
        <v>6</v>
      </c>
      <c r="E35">
        <v>1</v>
      </c>
      <c r="F35">
        <v>2</v>
      </c>
      <c r="G35">
        <v>38.64</v>
      </c>
    </row>
    <row r="36" spans="1:7" x14ac:dyDescent="0.3">
      <c r="A36">
        <v>1</v>
      </c>
      <c r="B36" t="s">
        <v>7</v>
      </c>
      <c r="C36">
        <v>9</v>
      </c>
      <c r="D36">
        <v>6</v>
      </c>
      <c r="E36">
        <v>1</v>
      </c>
      <c r="F36">
        <v>3</v>
      </c>
      <c r="G36">
        <v>40.9</v>
      </c>
    </row>
    <row r="37" spans="1:7" x14ac:dyDescent="0.3">
      <c r="A37">
        <v>1</v>
      </c>
      <c r="B37" t="s">
        <v>7</v>
      </c>
      <c r="C37">
        <v>9</v>
      </c>
      <c r="D37">
        <v>6</v>
      </c>
      <c r="E37">
        <v>1</v>
      </c>
      <c r="F37">
        <v>4</v>
      </c>
      <c r="G37">
        <v>41.11</v>
      </c>
    </row>
    <row r="38" spans="1:7" x14ac:dyDescent="0.3">
      <c r="A38">
        <v>1</v>
      </c>
      <c r="B38" t="s">
        <v>7</v>
      </c>
      <c r="C38">
        <v>10</v>
      </c>
      <c r="D38">
        <v>5</v>
      </c>
      <c r="E38">
        <v>2</v>
      </c>
      <c r="F38">
        <v>1</v>
      </c>
      <c r="G38">
        <v>34.270000000000003</v>
      </c>
    </row>
    <row r="39" spans="1:7" x14ac:dyDescent="0.3">
      <c r="A39">
        <v>1</v>
      </c>
      <c r="B39" t="s">
        <v>7</v>
      </c>
      <c r="C39">
        <v>10</v>
      </c>
      <c r="D39">
        <v>5</v>
      </c>
      <c r="E39">
        <v>2</v>
      </c>
      <c r="F39">
        <v>2</v>
      </c>
      <c r="G39">
        <v>29.3</v>
      </c>
    </row>
    <row r="40" spans="1:7" x14ac:dyDescent="0.3">
      <c r="A40">
        <v>1</v>
      </c>
      <c r="B40" t="s">
        <v>7</v>
      </c>
      <c r="C40">
        <v>10</v>
      </c>
      <c r="D40">
        <v>5</v>
      </c>
      <c r="E40">
        <v>2</v>
      </c>
      <c r="F40">
        <v>3</v>
      </c>
      <c r="G40">
        <v>23.93</v>
      </c>
    </row>
    <row r="41" spans="1:7" x14ac:dyDescent="0.3">
      <c r="A41">
        <v>1</v>
      </c>
      <c r="B41" t="s">
        <v>7</v>
      </c>
      <c r="C41">
        <v>10</v>
      </c>
      <c r="D41">
        <v>5</v>
      </c>
      <c r="E41">
        <v>2</v>
      </c>
      <c r="F41">
        <v>4</v>
      </c>
      <c r="G41">
        <v>35.159999999999997</v>
      </c>
    </row>
    <row r="42" spans="1:7" x14ac:dyDescent="0.3">
      <c r="A42">
        <v>1</v>
      </c>
      <c r="B42" t="s">
        <v>7</v>
      </c>
      <c r="C42">
        <v>11</v>
      </c>
      <c r="D42">
        <v>5</v>
      </c>
      <c r="E42">
        <v>3</v>
      </c>
      <c r="F42">
        <v>1</v>
      </c>
      <c r="G42">
        <v>33.42</v>
      </c>
    </row>
    <row r="43" spans="1:7" x14ac:dyDescent="0.3">
      <c r="A43">
        <v>1</v>
      </c>
      <c r="B43" t="s">
        <v>7</v>
      </c>
      <c r="C43">
        <v>11</v>
      </c>
      <c r="D43">
        <v>5</v>
      </c>
      <c r="E43">
        <v>3</v>
      </c>
      <c r="F43">
        <v>2</v>
      </c>
      <c r="G43">
        <v>37.93</v>
      </c>
    </row>
    <row r="44" spans="1:7" x14ac:dyDescent="0.3">
      <c r="A44">
        <v>1</v>
      </c>
      <c r="B44" t="s">
        <v>7</v>
      </c>
      <c r="C44">
        <v>11</v>
      </c>
      <c r="D44">
        <v>5</v>
      </c>
      <c r="E44">
        <v>3</v>
      </c>
      <c r="F44">
        <v>3</v>
      </c>
      <c r="G44">
        <v>33.85</v>
      </c>
    </row>
    <row r="45" spans="1:7" x14ac:dyDescent="0.3">
      <c r="A45">
        <v>1</v>
      </c>
      <c r="B45" t="s">
        <v>7</v>
      </c>
      <c r="C45">
        <v>11</v>
      </c>
      <c r="D45">
        <v>5</v>
      </c>
      <c r="E45">
        <v>3</v>
      </c>
      <c r="F45">
        <v>4</v>
      </c>
      <c r="G45">
        <v>40.25</v>
      </c>
    </row>
    <row r="46" spans="1:7" x14ac:dyDescent="0.3">
      <c r="A46">
        <v>1</v>
      </c>
      <c r="B46" t="s">
        <v>7</v>
      </c>
      <c r="C46">
        <v>12</v>
      </c>
      <c r="D46">
        <v>12</v>
      </c>
      <c r="E46">
        <v>1</v>
      </c>
      <c r="F46">
        <v>1</v>
      </c>
      <c r="G46">
        <v>35.85</v>
      </c>
    </row>
    <row r="47" spans="1:7" x14ac:dyDescent="0.3">
      <c r="A47">
        <v>1</v>
      </c>
      <c r="B47" t="s">
        <v>7</v>
      </c>
      <c r="C47">
        <v>12</v>
      </c>
      <c r="D47">
        <v>12</v>
      </c>
      <c r="E47">
        <v>1</v>
      </c>
      <c r="F47">
        <v>2</v>
      </c>
      <c r="G47">
        <v>36.24</v>
      </c>
    </row>
    <row r="48" spans="1:7" x14ac:dyDescent="0.3">
      <c r="A48">
        <v>1</v>
      </c>
      <c r="B48" t="s">
        <v>7</v>
      </c>
      <c r="C48">
        <v>12</v>
      </c>
      <c r="D48">
        <v>12</v>
      </c>
      <c r="E48">
        <v>1</v>
      </c>
      <c r="F48">
        <v>3</v>
      </c>
      <c r="G48">
        <v>41.73</v>
      </c>
    </row>
    <row r="49" spans="1:7" x14ac:dyDescent="0.3">
      <c r="A49">
        <v>1</v>
      </c>
      <c r="B49" t="s">
        <v>7</v>
      </c>
      <c r="C49">
        <v>12</v>
      </c>
      <c r="D49">
        <v>12</v>
      </c>
      <c r="E49">
        <v>1</v>
      </c>
      <c r="F49">
        <v>4</v>
      </c>
      <c r="G49">
        <v>37.32</v>
      </c>
    </row>
    <row r="50" spans="1:7" x14ac:dyDescent="0.3">
      <c r="A50">
        <v>1</v>
      </c>
      <c r="B50" t="s">
        <v>7</v>
      </c>
      <c r="C50">
        <v>13</v>
      </c>
      <c r="D50">
        <v>12</v>
      </c>
      <c r="E50">
        <v>1</v>
      </c>
      <c r="F50">
        <v>1</v>
      </c>
      <c r="G50">
        <v>50.48</v>
      </c>
    </row>
    <row r="51" spans="1:7" x14ac:dyDescent="0.3">
      <c r="A51">
        <v>1</v>
      </c>
      <c r="B51" t="s">
        <v>7</v>
      </c>
      <c r="C51">
        <v>13</v>
      </c>
      <c r="D51">
        <v>12</v>
      </c>
      <c r="E51">
        <v>1</v>
      </c>
      <c r="F51">
        <v>2</v>
      </c>
      <c r="G51">
        <v>36.880000000000003</v>
      </c>
    </row>
    <row r="52" spans="1:7" x14ac:dyDescent="0.3">
      <c r="A52">
        <v>1</v>
      </c>
      <c r="B52" t="s">
        <v>7</v>
      </c>
      <c r="C52">
        <v>13</v>
      </c>
      <c r="D52">
        <v>12</v>
      </c>
      <c r="E52">
        <v>1</v>
      </c>
      <c r="F52">
        <v>3</v>
      </c>
      <c r="G52">
        <v>35.68</v>
      </c>
    </row>
    <row r="53" spans="1:7" x14ac:dyDescent="0.3">
      <c r="A53">
        <v>1</v>
      </c>
      <c r="B53" t="s">
        <v>7</v>
      </c>
      <c r="C53">
        <v>13</v>
      </c>
      <c r="D53">
        <v>12</v>
      </c>
      <c r="E53">
        <v>1</v>
      </c>
      <c r="F53">
        <v>4</v>
      </c>
      <c r="G53">
        <v>46.45</v>
      </c>
    </row>
    <row r="54" spans="1:7" x14ac:dyDescent="0.3">
      <c r="A54">
        <v>2</v>
      </c>
      <c r="B54" t="s">
        <v>8</v>
      </c>
      <c r="C54">
        <v>101</v>
      </c>
      <c r="D54">
        <v>22</v>
      </c>
      <c r="E54">
        <v>1</v>
      </c>
      <c r="F54">
        <v>1</v>
      </c>
      <c r="G54">
        <v>67.48</v>
      </c>
    </row>
    <row r="55" spans="1:7" x14ac:dyDescent="0.3">
      <c r="A55">
        <v>2</v>
      </c>
      <c r="B55" t="s">
        <v>8</v>
      </c>
      <c r="C55">
        <v>101</v>
      </c>
      <c r="D55">
        <v>22</v>
      </c>
      <c r="E55">
        <v>1</v>
      </c>
      <c r="F55">
        <v>2</v>
      </c>
      <c r="G55">
        <v>65.569999999999993</v>
      </c>
    </row>
    <row r="56" spans="1:7" x14ac:dyDescent="0.3">
      <c r="A56">
        <v>2</v>
      </c>
      <c r="B56" t="s">
        <v>8</v>
      </c>
      <c r="C56">
        <v>101</v>
      </c>
      <c r="D56">
        <v>22</v>
      </c>
      <c r="E56">
        <v>1</v>
      </c>
      <c r="F56">
        <v>3</v>
      </c>
      <c r="G56">
        <v>68.42</v>
      </c>
    </row>
    <row r="57" spans="1:7" x14ac:dyDescent="0.3">
      <c r="A57">
        <v>2</v>
      </c>
      <c r="B57" t="s">
        <v>8</v>
      </c>
      <c r="C57">
        <v>101</v>
      </c>
      <c r="D57">
        <v>22</v>
      </c>
      <c r="E57">
        <v>1</v>
      </c>
      <c r="F57">
        <v>4</v>
      </c>
      <c r="G57">
        <v>60.93</v>
      </c>
    </row>
    <row r="58" spans="1:7" x14ac:dyDescent="0.3">
      <c r="A58">
        <v>2</v>
      </c>
      <c r="B58" t="s">
        <v>8</v>
      </c>
      <c r="C58">
        <v>102</v>
      </c>
      <c r="D58">
        <v>8</v>
      </c>
      <c r="E58">
        <v>3</v>
      </c>
      <c r="F58">
        <v>1</v>
      </c>
      <c r="G58">
        <v>61.59</v>
      </c>
    </row>
    <row r="59" spans="1:7" x14ac:dyDescent="0.3">
      <c r="A59">
        <v>2</v>
      </c>
      <c r="B59" t="s">
        <v>8</v>
      </c>
      <c r="C59">
        <v>102</v>
      </c>
      <c r="D59">
        <v>8</v>
      </c>
      <c r="E59">
        <v>3</v>
      </c>
      <c r="F59">
        <v>2</v>
      </c>
      <c r="G59">
        <v>63.64</v>
      </c>
    </row>
    <row r="60" spans="1:7" x14ac:dyDescent="0.3">
      <c r="A60">
        <v>2</v>
      </c>
      <c r="B60" t="s">
        <v>8</v>
      </c>
      <c r="C60">
        <v>102</v>
      </c>
      <c r="D60">
        <v>8</v>
      </c>
      <c r="E60">
        <v>3</v>
      </c>
      <c r="F60">
        <v>3</v>
      </c>
      <c r="G60">
        <v>54.68</v>
      </c>
    </row>
    <row r="61" spans="1:7" x14ac:dyDescent="0.3">
      <c r="A61">
        <v>2</v>
      </c>
      <c r="B61" t="s">
        <v>8</v>
      </c>
      <c r="C61">
        <v>102</v>
      </c>
      <c r="D61">
        <v>8</v>
      </c>
      <c r="E61">
        <v>3</v>
      </c>
      <c r="F61">
        <v>4</v>
      </c>
      <c r="G61">
        <v>61.24</v>
      </c>
    </row>
    <row r="62" spans="1:7" x14ac:dyDescent="0.3">
      <c r="A62">
        <v>2</v>
      </c>
      <c r="B62" t="s">
        <v>8</v>
      </c>
      <c r="C62">
        <v>103</v>
      </c>
      <c r="D62">
        <v>22</v>
      </c>
      <c r="E62">
        <v>3</v>
      </c>
      <c r="F62">
        <v>1</v>
      </c>
      <c r="G62">
        <v>62.93</v>
      </c>
    </row>
    <row r="63" spans="1:7" x14ac:dyDescent="0.3">
      <c r="A63">
        <v>2</v>
      </c>
      <c r="B63" t="s">
        <v>8</v>
      </c>
      <c r="C63">
        <v>103</v>
      </c>
      <c r="D63">
        <v>22</v>
      </c>
      <c r="E63">
        <v>3</v>
      </c>
      <c r="F63">
        <v>2</v>
      </c>
      <c r="G63">
        <v>58.77</v>
      </c>
    </row>
    <row r="64" spans="1:7" x14ac:dyDescent="0.3">
      <c r="A64">
        <v>2</v>
      </c>
      <c r="B64" t="s">
        <v>8</v>
      </c>
      <c r="C64">
        <v>103</v>
      </c>
      <c r="D64">
        <v>22</v>
      </c>
      <c r="E64">
        <v>3</v>
      </c>
      <c r="F64">
        <v>3</v>
      </c>
      <c r="G64">
        <v>70.599999999999994</v>
      </c>
    </row>
    <row r="65" spans="1:7" x14ac:dyDescent="0.3">
      <c r="A65">
        <v>2</v>
      </c>
      <c r="B65" t="s">
        <v>8</v>
      </c>
      <c r="C65">
        <v>103</v>
      </c>
      <c r="D65">
        <v>22</v>
      </c>
      <c r="E65">
        <v>3</v>
      </c>
      <c r="F65">
        <v>4</v>
      </c>
      <c r="G65">
        <v>65.06</v>
      </c>
    </row>
    <row r="66" spans="1:7" x14ac:dyDescent="0.3">
      <c r="A66">
        <v>2</v>
      </c>
      <c r="B66" t="s">
        <v>8</v>
      </c>
      <c r="C66">
        <v>104</v>
      </c>
      <c r="D66">
        <v>19</v>
      </c>
      <c r="E66">
        <v>3</v>
      </c>
      <c r="F66">
        <v>1</v>
      </c>
      <c r="G66">
        <v>59.76</v>
      </c>
    </row>
    <row r="67" spans="1:7" x14ac:dyDescent="0.3">
      <c r="A67">
        <v>2</v>
      </c>
      <c r="B67" t="s">
        <v>8</v>
      </c>
      <c r="C67">
        <v>104</v>
      </c>
      <c r="D67">
        <v>19</v>
      </c>
      <c r="E67">
        <v>3</v>
      </c>
      <c r="F67">
        <v>2</v>
      </c>
      <c r="G67">
        <v>66.11</v>
      </c>
    </row>
    <row r="68" spans="1:7" x14ac:dyDescent="0.3">
      <c r="A68">
        <v>2</v>
      </c>
      <c r="B68" t="s">
        <v>8</v>
      </c>
      <c r="C68">
        <v>104</v>
      </c>
      <c r="D68">
        <v>19</v>
      </c>
      <c r="E68">
        <v>3</v>
      </c>
      <c r="F68">
        <v>3</v>
      </c>
      <c r="G68">
        <v>62.16</v>
      </c>
    </row>
    <row r="69" spans="1:7" x14ac:dyDescent="0.3">
      <c r="A69">
        <v>2</v>
      </c>
      <c r="B69" t="s">
        <v>8</v>
      </c>
      <c r="C69">
        <v>104</v>
      </c>
      <c r="D69">
        <v>19</v>
      </c>
      <c r="E69">
        <v>3</v>
      </c>
      <c r="F69">
        <v>4</v>
      </c>
      <c r="G69">
        <v>64.040000000000006</v>
      </c>
    </row>
    <row r="70" spans="1:7" x14ac:dyDescent="0.3">
      <c r="A70">
        <v>2</v>
      </c>
      <c r="B70" t="s">
        <v>8</v>
      </c>
      <c r="C70">
        <v>105</v>
      </c>
      <c r="D70">
        <v>8</v>
      </c>
      <c r="E70">
        <v>3</v>
      </c>
      <c r="F70">
        <v>1</v>
      </c>
      <c r="G70">
        <v>59.65</v>
      </c>
    </row>
    <row r="71" spans="1:7" x14ac:dyDescent="0.3">
      <c r="A71">
        <v>2</v>
      </c>
      <c r="B71" t="s">
        <v>8</v>
      </c>
      <c r="C71">
        <v>105</v>
      </c>
      <c r="D71">
        <v>8</v>
      </c>
      <c r="E71">
        <v>3</v>
      </c>
      <c r="F71">
        <v>2</v>
      </c>
      <c r="G71">
        <v>57.04</v>
      </c>
    </row>
    <row r="72" spans="1:7" x14ac:dyDescent="0.3">
      <c r="A72">
        <v>2</v>
      </c>
      <c r="B72" t="s">
        <v>8</v>
      </c>
      <c r="C72">
        <v>105</v>
      </c>
      <c r="D72">
        <v>8</v>
      </c>
      <c r="E72">
        <v>3</v>
      </c>
      <c r="F72">
        <v>3</v>
      </c>
      <c r="G72">
        <v>59.73</v>
      </c>
    </row>
    <row r="73" spans="1:7" x14ac:dyDescent="0.3">
      <c r="A73">
        <v>2</v>
      </c>
      <c r="B73" t="s">
        <v>8</v>
      </c>
      <c r="C73">
        <v>105</v>
      </c>
      <c r="D73">
        <v>8</v>
      </c>
      <c r="E73">
        <v>3</v>
      </c>
      <c r="F73">
        <v>4</v>
      </c>
      <c r="G73">
        <v>56.72</v>
      </c>
    </row>
    <row r="74" spans="1:7" x14ac:dyDescent="0.3">
      <c r="A74">
        <v>2</v>
      </c>
      <c r="B74" t="s">
        <v>8</v>
      </c>
      <c r="C74">
        <v>106</v>
      </c>
      <c r="D74">
        <v>5</v>
      </c>
      <c r="E74">
        <v>3</v>
      </c>
      <c r="F74">
        <v>1</v>
      </c>
      <c r="G74">
        <v>58.55</v>
      </c>
    </row>
    <row r="75" spans="1:7" x14ac:dyDescent="0.3">
      <c r="A75">
        <v>2</v>
      </c>
      <c r="B75" t="s">
        <v>8</v>
      </c>
      <c r="C75">
        <v>106</v>
      </c>
      <c r="D75">
        <v>5</v>
      </c>
      <c r="E75">
        <v>3</v>
      </c>
      <c r="F75">
        <v>2</v>
      </c>
      <c r="G75">
        <v>62.19</v>
      </c>
    </row>
    <row r="76" spans="1:7" x14ac:dyDescent="0.3">
      <c r="A76">
        <v>2</v>
      </c>
      <c r="B76" t="s">
        <v>8</v>
      </c>
      <c r="C76">
        <v>106</v>
      </c>
      <c r="D76">
        <v>5</v>
      </c>
      <c r="E76">
        <v>3</v>
      </c>
      <c r="F76">
        <v>3</v>
      </c>
      <c r="G76">
        <v>53.14</v>
      </c>
    </row>
    <row r="77" spans="1:7" x14ac:dyDescent="0.3">
      <c r="A77">
        <v>2</v>
      </c>
      <c r="B77" t="s">
        <v>8</v>
      </c>
      <c r="C77">
        <v>106</v>
      </c>
      <c r="D77">
        <v>5</v>
      </c>
      <c r="E77">
        <v>3</v>
      </c>
      <c r="F77">
        <v>4</v>
      </c>
      <c r="G77">
        <v>62.27</v>
      </c>
    </row>
    <row r="78" spans="1:7" x14ac:dyDescent="0.3">
      <c r="A78">
        <v>3</v>
      </c>
      <c r="B78" t="s">
        <v>9</v>
      </c>
      <c r="C78">
        <v>201</v>
      </c>
      <c r="D78">
        <v>4</v>
      </c>
      <c r="E78">
        <v>3</v>
      </c>
      <c r="F78">
        <v>1</v>
      </c>
      <c r="G78">
        <v>86.14</v>
      </c>
    </row>
    <row r="79" spans="1:7" x14ac:dyDescent="0.3">
      <c r="A79">
        <v>3</v>
      </c>
      <c r="B79" t="s">
        <v>9</v>
      </c>
      <c r="C79">
        <v>201</v>
      </c>
      <c r="D79">
        <v>4</v>
      </c>
      <c r="E79">
        <v>3</v>
      </c>
      <c r="F79">
        <v>2</v>
      </c>
      <c r="G79">
        <v>82.56</v>
      </c>
    </row>
    <row r="80" spans="1:7" x14ac:dyDescent="0.3">
      <c r="A80">
        <v>3</v>
      </c>
      <c r="B80" t="s">
        <v>9</v>
      </c>
      <c r="C80">
        <v>201</v>
      </c>
      <c r="D80">
        <v>4</v>
      </c>
      <c r="E80">
        <v>3</v>
      </c>
      <c r="F80">
        <v>3</v>
      </c>
      <c r="G80">
        <v>79.36</v>
      </c>
    </row>
    <row r="81" spans="1:7" x14ac:dyDescent="0.3">
      <c r="A81">
        <v>3</v>
      </c>
      <c r="B81" t="s">
        <v>9</v>
      </c>
      <c r="C81">
        <v>201</v>
      </c>
      <c r="D81">
        <v>4</v>
      </c>
      <c r="E81">
        <v>3</v>
      </c>
      <c r="F81">
        <v>4</v>
      </c>
      <c r="G81">
        <v>77.17</v>
      </c>
    </row>
    <row r="82" spans="1:7" x14ac:dyDescent="0.3">
      <c r="A82">
        <v>3</v>
      </c>
      <c r="B82" t="s">
        <v>9</v>
      </c>
      <c r="C82">
        <v>202</v>
      </c>
      <c r="D82">
        <v>8</v>
      </c>
      <c r="E82">
        <v>1</v>
      </c>
      <c r="F82">
        <v>1</v>
      </c>
      <c r="G82">
        <v>88.73</v>
      </c>
    </row>
    <row r="83" spans="1:7" x14ac:dyDescent="0.3">
      <c r="A83">
        <v>3</v>
      </c>
      <c r="B83" t="s">
        <v>9</v>
      </c>
      <c r="C83">
        <v>202</v>
      </c>
      <c r="D83">
        <v>8</v>
      </c>
      <c r="E83">
        <v>1</v>
      </c>
      <c r="F83">
        <v>2</v>
      </c>
      <c r="G83">
        <v>85.21</v>
      </c>
    </row>
    <row r="84" spans="1:7" x14ac:dyDescent="0.3">
      <c r="A84">
        <v>3</v>
      </c>
      <c r="B84" t="s">
        <v>9</v>
      </c>
      <c r="C84">
        <v>202</v>
      </c>
      <c r="D84">
        <v>8</v>
      </c>
      <c r="E84">
        <v>1</v>
      </c>
      <c r="F84">
        <v>3</v>
      </c>
      <c r="G84">
        <v>81.55</v>
      </c>
    </row>
    <row r="85" spans="1:7" x14ac:dyDescent="0.3">
      <c r="A85">
        <v>3</v>
      </c>
      <c r="B85" t="s">
        <v>9</v>
      </c>
      <c r="C85">
        <v>202</v>
      </c>
      <c r="D85">
        <v>8</v>
      </c>
      <c r="E85">
        <v>1</v>
      </c>
      <c r="F85">
        <v>4</v>
      </c>
      <c r="G85">
        <v>94.17</v>
      </c>
    </row>
    <row r="86" spans="1:7" x14ac:dyDescent="0.3">
      <c r="A86">
        <v>3</v>
      </c>
      <c r="B86" t="s">
        <v>9</v>
      </c>
      <c r="C86">
        <v>203</v>
      </c>
      <c r="D86">
        <v>12</v>
      </c>
      <c r="E86">
        <v>3</v>
      </c>
      <c r="F86">
        <v>1</v>
      </c>
      <c r="G86">
        <v>89.7</v>
      </c>
    </row>
    <row r="87" spans="1:7" x14ac:dyDescent="0.3">
      <c r="A87">
        <v>3</v>
      </c>
      <c r="B87" t="s">
        <v>9</v>
      </c>
      <c r="C87">
        <v>203</v>
      </c>
      <c r="D87">
        <v>12</v>
      </c>
      <c r="E87">
        <v>3</v>
      </c>
      <c r="F87">
        <v>2</v>
      </c>
      <c r="G87">
        <v>78.430000000000007</v>
      </c>
    </row>
    <row r="88" spans="1:7" x14ac:dyDescent="0.3">
      <c r="A88">
        <v>3</v>
      </c>
      <c r="B88" t="s">
        <v>9</v>
      </c>
      <c r="C88">
        <v>203</v>
      </c>
      <c r="D88">
        <v>12</v>
      </c>
      <c r="E88">
        <v>3</v>
      </c>
      <c r="F88">
        <v>3</v>
      </c>
      <c r="G88">
        <v>84.05</v>
      </c>
    </row>
    <row r="89" spans="1:7" x14ac:dyDescent="0.3">
      <c r="A89">
        <v>3</v>
      </c>
      <c r="B89" t="s">
        <v>9</v>
      </c>
      <c r="C89">
        <v>203</v>
      </c>
      <c r="D89">
        <v>12</v>
      </c>
      <c r="E89">
        <v>3</v>
      </c>
      <c r="F89">
        <v>4</v>
      </c>
      <c r="G89">
        <v>81.180000000000007</v>
      </c>
    </row>
    <row r="90" spans="1:7" x14ac:dyDescent="0.3">
      <c r="A90">
        <v>3</v>
      </c>
      <c r="B90" t="s">
        <v>9</v>
      </c>
      <c r="C90">
        <v>204</v>
      </c>
      <c r="D90">
        <v>1</v>
      </c>
      <c r="E90">
        <v>2</v>
      </c>
      <c r="F90">
        <v>1</v>
      </c>
      <c r="G90">
        <v>87.43</v>
      </c>
    </row>
    <row r="91" spans="1:7" x14ac:dyDescent="0.3">
      <c r="A91">
        <v>3</v>
      </c>
      <c r="B91" t="s">
        <v>9</v>
      </c>
      <c r="C91">
        <v>204</v>
      </c>
      <c r="D91">
        <v>1</v>
      </c>
      <c r="E91">
        <v>2</v>
      </c>
      <c r="F91">
        <v>2</v>
      </c>
      <c r="G91">
        <v>81.790000000000006</v>
      </c>
    </row>
    <row r="92" spans="1:7" x14ac:dyDescent="0.3">
      <c r="A92">
        <v>3</v>
      </c>
      <c r="B92" t="s">
        <v>9</v>
      </c>
      <c r="C92">
        <v>204</v>
      </c>
      <c r="D92">
        <v>1</v>
      </c>
      <c r="E92">
        <v>2</v>
      </c>
      <c r="F92">
        <v>3</v>
      </c>
      <c r="G92">
        <v>88.12</v>
      </c>
    </row>
    <row r="93" spans="1:7" x14ac:dyDescent="0.3">
      <c r="A93">
        <v>3</v>
      </c>
      <c r="B93" t="s">
        <v>9</v>
      </c>
      <c r="C93">
        <v>204</v>
      </c>
      <c r="D93">
        <v>1</v>
      </c>
      <c r="E93">
        <v>2</v>
      </c>
      <c r="F93">
        <v>4</v>
      </c>
      <c r="G93">
        <v>75.290000000000006</v>
      </c>
    </row>
    <row r="94" spans="1:7" x14ac:dyDescent="0.3">
      <c r="A94">
        <v>3</v>
      </c>
      <c r="B94" t="s">
        <v>9</v>
      </c>
      <c r="C94">
        <v>205</v>
      </c>
      <c r="D94">
        <v>19</v>
      </c>
      <c r="E94">
        <v>3</v>
      </c>
      <c r="F94">
        <v>1</v>
      </c>
      <c r="G94">
        <v>83.02</v>
      </c>
    </row>
    <row r="95" spans="1:7" x14ac:dyDescent="0.3">
      <c r="A95">
        <v>3</v>
      </c>
      <c r="B95" t="s">
        <v>9</v>
      </c>
      <c r="C95">
        <v>205</v>
      </c>
      <c r="D95">
        <v>19</v>
      </c>
      <c r="E95">
        <v>3</v>
      </c>
      <c r="F95">
        <v>2</v>
      </c>
      <c r="G95">
        <v>90.3</v>
      </c>
    </row>
    <row r="96" spans="1:7" x14ac:dyDescent="0.3">
      <c r="A96">
        <v>3</v>
      </c>
      <c r="B96" t="s">
        <v>9</v>
      </c>
      <c r="C96">
        <v>205</v>
      </c>
      <c r="D96">
        <v>19</v>
      </c>
      <c r="E96">
        <v>3</v>
      </c>
      <c r="F96">
        <v>3</v>
      </c>
      <c r="G96">
        <v>85.18</v>
      </c>
    </row>
    <row r="97" spans="1:7" x14ac:dyDescent="0.3">
      <c r="A97">
        <v>3</v>
      </c>
      <c r="B97" t="s">
        <v>9</v>
      </c>
      <c r="C97">
        <v>205</v>
      </c>
      <c r="D97">
        <v>19</v>
      </c>
      <c r="E97">
        <v>3</v>
      </c>
      <c r="F97">
        <v>4</v>
      </c>
      <c r="G97">
        <v>89.77</v>
      </c>
    </row>
    <row r="98" spans="1:7" x14ac:dyDescent="0.3">
      <c r="A98">
        <v>3</v>
      </c>
      <c r="B98" t="s">
        <v>9</v>
      </c>
      <c r="C98">
        <v>206</v>
      </c>
      <c r="D98">
        <v>11</v>
      </c>
      <c r="E98">
        <v>3</v>
      </c>
      <c r="F98">
        <v>1</v>
      </c>
      <c r="G98">
        <v>82.64</v>
      </c>
    </row>
    <row r="99" spans="1:7" x14ac:dyDescent="0.3">
      <c r="A99">
        <v>3</v>
      </c>
      <c r="B99" t="s">
        <v>9</v>
      </c>
      <c r="C99">
        <v>206</v>
      </c>
      <c r="D99">
        <v>11</v>
      </c>
      <c r="E99">
        <v>3</v>
      </c>
      <c r="F99">
        <v>2</v>
      </c>
      <c r="G99">
        <v>82.89</v>
      </c>
    </row>
    <row r="100" spans="1:7" x14ac:dyDescent="0.3">
      <c r="A100">
        <v>3</v>
      </c>
      <c r="B100" t="s">
        <v>9</v>
      </c>
      <c r="C100">
        <v>206</v>
      </c>
      <c r="D100">
        <v>11</v>
      </c>
      <c r="E100">
        <v>3</v>
      </c>
      <c r="F100">
        <v>3</v>
      </c>
      <c r="G100">
        <v>82.13</v>
      </c>
    </row>
    <row r="101" spans="1:7" x14ac:dyDescent="0.3">
      <c r="A101">
        <v>3</v>
      </c>
      <c r="B101" t="s">
        <v>9</v>
      </c>
      <c r="C101">
        <v>206</v>
      </c>
      <c r="D101">
        <v>11</v>
      </c>
      <c r="E101">
        <v>3</v>
      </c>
      <c r="F101">
        <v>4</v>
      </c>
      <c r="G101">
        <v>88.91</v>
      </c>
    </row>
    <row r="102" spans="1:7" x14ac:dyDescent="0.3">
      <c r="A102">
        <v>3</v>
      </c>
      <c r="B102" t="s">
        <v>9</v>
      </c>
      <c r="C102">
        <v>207</v>
      </c>
      <c r="D102">
        <v>1</v>
      </c>
      <c r="E102">
        <v>3</v>
      </c>
      <c r="F102">
        <v>1</v>
      </c>
      <c r="G102">
        <v>87.7</v>
      </c>
    </row>
    <row r="103" spans="1:7" x14ac:dyDescent="0.3">
      <c r="A103">
        <v>3</v>
      </c>
      <c r="B103" t="s">
        <v>9</v>
      </c>
      <c r="C103">
        <v>207</v>
      </c>
      <c r="D103">
        <v>1</v>
      </c>
      <c r="E103">
        <v>3</v>
      </c>
      <c r="F103">
        <v>2</v>
      </c>
      <c r="G103">
        <v>81.16</v>
      </c>
    </row>
    <row r="104" spans="1:7" x14ac:dyDescent="0.3">
      <c r="A104">
        <v>3</v>
      </c>
      <c r="B104" t="s">
        <v>9</v>
      </c>
      <c r="C104">
        <v>207</v>
      </c>
      <c r="D104">
        <v>1</v>
      </c>
      <c r="E104">
        <v>3</v>
      </c>
      <c r="F104">
        <v>3</v>
      </c>
      <c r="G104">
        <v>81.58</v>
      </c>
    </row>
    <row r="105" spans="1:7" x14ac:dyDescent="0.3">
      <c r="A105">
        <v>3</v>
      </c>
      <c r="B105" t="s">
        <v>9</v>
      </c>
      <c r="C105">
        <v>207</v>
      </c>
      <c r="D105">
        <v>1</v>
      </c>
      <c r="E105">
        <v>3</v>
      </c>
      <c r="F105">
        <v>4</v>
      </c>
      <c r="G105">
        <v>94.21</v>
      </c>
    </row>
    <row r="106" spans="1:7" x14ac:dyDescent="0.3">
      <c r="A106">
        <v>3</v>
      </c>
      <c r="B106" t="s">
        <v>9</v>
      </c>
      <c r="C106">
        <v>208</v>
      </c>
      <c r="D106">
        <v>1</v>
      </c>
      <c r="E106">
        <v>3</v>
      </c>
      <c r="F106">
        <v>1</v>
      </c>
      <c r="G106">
        <v>96.48</v>
      </c>
    </row>
    <row r="107" spans="1:7" x14ac:dyDescent="0.3">
      <c r="A107">
        <v>3</v>
      </c>
      <c r="B107" t="s">
        <v>9</v>
      </c>
      <c r="C107">
        <v>208</v>
      </c>
      <c r="D107">
        <v>1</v>
      </c>
      <c r="E107">
        <v>3</v>
      </c>
      <c r="F107">
        <v>2</v>
      </c>
      <c r="G107">
        <v>84.13</v>
      </c>
    </row>
    <row r="108" spans="1:7" x14ac:dyDescent="0.3">
      <c r="A108">
        <v>3</v>
      </c>
      <c r="B108" t="s">
        <v>9</v>
      </c>
      <c r="C108">
        <v>208</v>
      </c>
      <c r="D108">
        <v>1</v>
      </c>
      <c r="E108">
        <v>3</v>
      </c>
      <c r="F108">
        <v>3</v>
      </c>
      <c r="G108">
        <v>91.98</v>
      </c>
    </row>
    <row r="109" spans="1:7" x14ac:dyDescent="0.3">
      <c r="A109">
        <v>3</v>
      </c>
      <c r="B109" t="s">
        <v>9</v>
      </c>
      <c r="C109">
        <v>208</v>
      </c>
      <c r="D109">
        <v>1</v>
      </c>
      <c r="E109">
        <v>3</v>
      </c>
      <c r="F109">
        <v>4</v>
      </c>
      <c r="G109">
        <v>81.72</v>
      </c>
    </row>
    <row r="110" spans="1:7" x14ac:dyDescent="0.3">
      <c r="A110">
        <v>3</v>
      </c>
      <c r="B110" t="s">
        <v>9</v>
      </c>
      <c r="C110">
        <v>209</v>
      </c>
      <c r="D110">
        <v>1</v>
      </c>
      <c r="E110">
        <v>1</v>
      </c>
      <c r="F110">
        <v>1</v>
      </c>
      <c r="G110">
        <v>93.71</v>
      </c>
    </row>
    <row r="111" spans="1:7" x14ac:dyDescent="0.3">
      <c r="A111">
        <v>3</v>
      </c>
      <c r="B111" t="s">
        <v>9</v>
      </c>
      <c r="C111">
        <v>209</v>
      </c>
      <c r="D111">
        <v>1</v>
      </c>
      <c r="E111">
        <v>1</v>
      </c>
      <c r="F111">
        <v>2</v>
      </c>
      <c r="G111">
        <v>96.01</v>
      </c>
    </row>
    <row r="112" spans="1:7" x14ac:dyDescent="0.3">
      <c r="A112">
        <v>3</v>
      </c>
      <c r="B112" t="s">
        <v>9</v>
      </c>
      <c r="C112">
        <v>209</v>
      </c>
      <c r="D112">
        <v>1</v>
      </c>
      <c r="E112">
        <v>1</v>
      </c>
      <c r="F112">
        <v>3</v>
      </c>
      <c r="G112">
        <v>93.03</v>
      </c>
    </row>
    <row r="113" spans="1:7" x14ac:dyDescent="0.3">
      <c r="A113">
        <v>3</v>
      </c>
      <c r="B113" t="s">
        <v>9</v>
      </c>
      <c r="C113">
        <v>209</v>
      </c>
      <c r="D113">
        <v>1</v>
      </c>
      <c r="E113">
        <v>1</v>
      </c>
      <c r="F113">
        <v>4</v>
      </c>
      <c r="G113">
        <v>97.61</v>
      </c>
    </row>
    <row r="114" spans="1:7" x14ac:dyDescent="0.3">
      <c r="A114">
        <v>3</v>
      </c>
      <c r="B114" t="s">
        <v>9</v>
      </c>
      <c r="C114">
        <v>210</v>
      </c>
      <c r="D114">
        <v>19</v>
      </c>
      <c r="E114">
        <v>1</v>
      </c>
      <c r="F114">
        <v>1</v>
      </c>
      <c r="G114">
        <v>85.11</v>
      </c>
    </row>
    <row r="115" spans="1:7" x14ac:dyDescent="0.3">
      <c r="A115">
        <v>3</v>
      </c>
      <c r="B115" t="s">
        <v>9</v>
      </c>
      <c r="C115">
        <v>210</v>
      </c>
      <c r="D115">
        <v>19</v>
      </c>
      <c r="E115">
        <v>1</v>
      </c>
      <c r="F115">
        <v>2</v>
      </c>
      <c r="G115">
        <v>88.07</v>
      </c>
    </row>
    <row r="116" spans="1:7" x14ac:dyDescent="0.3">
      <c r="A116">
        <v>3</v>
      </c>
      <c r="B116" t="s">
        <v>9</v>
      </c>
      <c r="C116">
        <v>210</v>
      </c>
      <c r="D116">
        <v>19</v>
      </c>
      <c r="E116">
        <v>1</v>
      </c>
      <c r="F116">
        <v>3</v>
      </c>
      <c r="G116">
        <v>94.43</v>
      </c>
    </row>
    <row r="117" spans="1:7" x14ac:dyDescent="0.3">
      <c r="A117">
        <v>3</v>
      </c>
      <c r="B117" t="s">
        <v>9</v>
      </c>
      <c r="C117">
        <v>210</v>
      </c>
      <c r="D117">
        <v>19</v>
      </c>
      <c r="E117">
        <v>1</v>
      </c>
      <c r="F117">
        <v>4</v>
      </c>
      <c r="G117">
        <v>89.44</v>
      </c>
    </row>
    <row r="118" spans="1:7" x14ac:dyDescent="0.3">
      <c r="A118">
        <v>3</v>
      </c>
      <c r="B118" t="s">
        <v>9</v>
      </c>
      <c r="C118">
        <v>211</v>
      </c>
      <c r="D118">
        <v>13</v>
      </c>
      <c r="E118">
        <v>2</v>
      </c>
      <c r="F118">
        <v>1</v>
      </c>
      <c r="G118">
        <v>88.64</v>
      </c>
    </row>
    <row r="119" spans="1:7" x14ac:dyDescent="0.3">
      <c r="A119">
        <v>3</v>
      </c>
      <c r="B119" t="s">
        <v>9</v>
      </c>
      <c r="C119">
        <v>211</v>
      </c>
      <c r="D119">
        <v>13</v>
      </c>
      <c r="E119">
        <v>2</v>
      </c>
      <c r="F119">
        <v>2</v>
      </c>
      <c r="G119">
        <v>81.37</v>
      </c>
    </row>
    <row r="120" spans="1:7" x14ac:dyDescent="0.3">
      <c r="A120">
        <v>3</v>
      </c>
      <c r="B120" t="s">
        <v>9</v>
      </c>
      <c r="C120">
        <v>211</v>
      </c>
      <c r="D120">
        <v>13</v>
      </c>
      <c r="E120">
        <v>2</v>
      </c>
      <c r="F120">
        <v>3</v>
      </c>
      <c r="G120">
        <v>82.14</v>
      </c>
    </row>
    <row r="121" spans="1:7" x14ac:dyDescent="0.3">
      <c r="A121">
        <v>3</v>
      </c>
      <c r="B121" t="s">
        <v>9</v>
      </c>
      <c r="C121">
        <v>211</v>
      </c>
      <c r="D121">
        <v>13</v>
      </c>
      <c r="E121">
        <v>2</v>
      </c>
      <c r="F121">
        <v>4</v>
      </c>
      <c r="G121">
        <v>79.64</v>
      </c>
    </row>
    <row r="122" spans="1:7" x14ac:dyDescent="0.3">
      <c r="A122">
        <v>3</v>
      </c>
      <c r="B122" t="s">
        <v>9</v>
      </c>
      <c r="C122">
        <v>212</v>
      </c>
      <c r="D122">
        <v>3</v>
      </c>
      <c r="E122">
        <v>3</v>
      </c>
      <c r="F122">
        <v>1</v>
      </c>
      <c r="G122">
        <v>84.34</v>
      </c>
    </row>
    <row r="123" spans="1:7" x14ac:dyDescent="0.3">
      <c r="A123">
        <v>3</v>
      </c>
      <c r="B123" t="s">
        <v>9</v>
      </c>
      <c r="C123">
        <v>212</v>
      </c>
      <c r="D123">
        <v>3</v>
      </c>
      <c r="E123">
        <v>3</v>
      </c>
      <c r="F123">
        <v>2</v>
      </c>
      <c r="G123">
        <v>87.9</v>
      </c>
    </row>
    <row r="124" spans="1:7" x14ac:dyDescent="0.3">
      <c r="A124">
        <v>3</v>
      </c>
      <c r="B124" t="s">
        <v>9</v>
      </c>
      <c r="C124">
        <v>212</v>
      </c>
      <c r="D124">
        <v>3</v>
      </c>
      <c r="E124">
        <v>3</v>
      </c>
      <c r="F124">
        <v>3</v>
      </c>
      <c r="G124">
        <v>76.12</v>
      </c>
    </row>
    <row r="125" spans="1:7" x14ac:dyDescent="0.3">
      <c r="A125">
        <v>3</v>
      </c>
      <c r="B125" t="s">
        <v>9</v>
      </c>
      <c r="C125">
        <v>212</v>
      </c>
      <c r="D125">
        <v>3</v>
      </c>
      <c r="E125">
        <v>3</v>
      </c>
      <c r="F125">
        <v>4</v>
      </c>
      <c r="G125">
        <v>82.72</v>
      </c>
    </row>
    <row r="126" spans="1:7" x14ac:dyDescent="0.3">
      <c r="A126">
        <v>3</v>
      </c>
      <c r="B126" t="s">
        <v>9</v>
      </c>
      <c r="C126">
        <v>213</v>
      </c>
      <c r="D126">
        <v>4</v>
      </c>
      <c r="E126">
        <v>2</v>
      </c>
      <c r="F126">
        <v>1</v>
      </c>
      <c r="G126">
        <v>73.22</v>
      </c>
    </row>
    <row r="127" spans="1:7" x14ac:dyDescent="0.3">
      <c r="A127">
        <v>3</v>
      </c>
      <c r="B127" t="s">
        <v>9</v>
      </c>
      <c r="C127">
        <v>213</v>
      </c>
      <c r="D127">
        <v>4</v>
      </c>
      <c r="E127">
        <v>2</v>
      </c>
      <c r="F127">
        <v>2</v>
      </c>
      <c r="G127">
        <v>75.88</v>
      </c>
    </row>
    <row r="128" spans="1:7" x14ac:dyDescent="0.3">
      <c r="A128">
        <v>3</v>
      </c>
      <c r="B128" t="s">
        <v>9</v>
      </c>
      <c r="C128">
        <v>213</v>
      </c>
      <c r="D128">
        <v>4</v>
      </c>
      <c r="E128">
        <v>2</v>
      </c>
      <c r="F128">
        <v>3</v>
      </c>
      <c r="G128">
        <v>78.010000000000005</v>
      </c>
    </row>
    <row r="129" spans="1:7" x14ac:dyDescent="0.3">
      <c r="A129">
        <v>3</v>
      </c>
      <c r="B129" t="s">
        <v>9</v>
      </c>
      <c r="C129">
        <v>213</v>
      </c>
      <c r="D129">
        <v>4</v>
      </c>
      <c r="E129">
        <v>2</v>
      </c>
      <c r="F129">
        <v>4</v>
      </c>
      <c r="G129">
        <v>80.17</v>
      </c>
    </row>
    <row r="130" spans="1:7" x14ac:dyDescent="0.3">
      <c r="A130">
        <v>3</v>
      </c>
      <c r="B130" t="s">
        <v>9</v>
      </c>
      <c r="C130">
        <v>214</v>
      </c>
      <c r="D130">
        <v>5</v>
      </c>
      <c r="E130">
        <v>1</v>
      </c>
      <c r="F130">
        <v>1</v>
      </c>
      <c r="G130">
        <v>91.6</v>
      </c>
    </row>
    <row r="131" spans="1:7" x14ac:dyDescent="0.3">
      <c r="A131">
        <v>3</v>
      </c>
      <c r="B131" t="s">
        <v>9</v>
      </c>
      <c r="C131">
        <v>214</v>
      </c>
      <c r="D131">
        <v>5</v>
      </c>
      <c r="E131">
        <v>1</v>
      </c>
      <c r="F131">
        <v>2</v>
      </c>
      <c r="G131">
        <v>80.61</v>
      </c>
    </row>
    <row r="132" spans="1:7" x14ac:dyDescent="0.3">
      <c r="A132">
        <v>3</v>
      </c>
      <c r="B132" t="s">
        <v>9</v>
      </c>
      <c r="C132">
        <v>214</v>
      </c>
      <c r="D132">
        <v>5</v>
      </c>
      <c r="E132">
        <v>1</v>
      </c>
      <c r="F132">
        <v>3</v>
      </c>
      <c r="G132">
        <v>93.86</v>
      </c>
    </row>
    <row r="133" spans="1:7" x14ac:dyDescent="0.3">
      <c r="A133">
        <v>3</v>
      </c>
      <c r="B133" t="s">
        <v>9</v>
      </c>
      <c r="C133">
        <v>214</v>
      </c>
      <c r="D133">
        <v>5</v>
      </c>
      <c r="E133">
        <v>1</v>
      </c>
      <c r="F133">
        <v>4</v>
      </c>
      <c r="G133">
        <v>83.43</v>
      </c>
    </row>
    <row r="134" spans="1:7" x14ac:dyDescent="0.3">
      <c r="A134">
        <v>3</v>
      </c>
      <c r="B134" t="s">
        <v>9</v>
      </c>
      <c r="C134">
        <v>215</v>
      </c>
      <c r="D134">
        <v>7</v>
      </c>
      <c r="E134">
        <v>2</v>
      </c>
      <c r="F134">
        <v>1</v>
      </c>
      <c r="G134">
        <v>82.65</v>
      </c>
    </row>
    <row r="135" spans="1:7" x14ac:dyDescent="0.3">
      <c r="A135">
        <v>3</v>
      </c>
      <c r="B135" t="s">
        <v>9</v>
      </c>
      <c r="C135">
        <v>215</v>
      </c>
      <c r="D135">
        <v>7</v>
      </c>
      <c r="E135">
        <v>2</v>
      </c>
      <c r="F135">
        <v>2</v>
      </c>
      <c r="G135">
        <v>77.39</v>
      </c>
    </row>
    <row r="136" spans="1:7" x14ac:dyDescent="0.3">
      <c r="A136">
        <v>3</v>
      </c>
      <c r="B136" t="s">
        <v>9</v>
      </c>
      <c r="C136">
        <v>215</v>
      </c>
      <c r="D136">
        <v>7</v>
      </c>
      <c r="E136">
        <v>2</v>
      </c>
      <c r="F136">
        <v>3</v>
      </c>
      <c r="G136">
        <v>80.83</v>
      </c>
    </row>
    <row r="137" spans="1:7" x14ac:dyDescent="0.3">
      <c r="A137">
        <v>3</v>
      </c>
      <c r="B137" t="s">
        <v>9</v>
      </c>
      <c r="C137">
        <v>215</v>
      </c>
      <c r="D137">
        <v>7</v>
      </c>
      <c r="E137">
        <v>2</v>
      </c>
      <c r="F137">
        <v>4</v>
      </c>
      <c r="G137">
        <v>80.75</v>
      </c>
    </row>
    <row r="138" spans="1:7" x14ac:dyDescent="0.3">
      <c r="A138">
        <v>3</v>
      </c>
      <c r="B138" t="s">
        <v>9</v>
      </c>
      <c r="C138">
        <v>216</v>
      </c>
      <c r="D138">
        <v>4</v>
      </c>
      <c r="E138">
        <v>3</v>
      </c>
      <c r="F138">
        <v>1</v>
      </c>
      <c r="G138">
        <v>94.89</v>
      </c>
    </row>
    <row r="139" spans="1:7" x14ac:dyDescent="0.3">
      <c r="A139">
        <v>3</v>
      </c>
      <c r="B139" t="s">
        <v>9</v>
      </c>
      <c r="C139">
        <v>216</v>
      </c>
      <c r="D139">
        <v>4</v>
      </c>
      <c r="E139">
        <v>3</v>
      </c>
      <c r="F139">
        <v>2</v>
      </c>
      <c r="G139">
        <v>74.75</v>
      </c>
    </row>
    <row r="140" spans="1:7" x14ac:dyDescent="0.3">
      <c r="A140">
        <v>3</v>
      </c>
      <c r="B140" t="s">
        <v>9</v>
      </c>
      <c r="C140">
        <v>216</v>
      </c>
      <c r="D140">
        <v>4</v>
      </c>
      <c r="E140">
        <v>3</v>
      </c>
      <c r="F140">
        <v>3</v>
      </c>
      <c r="G140">
        <v>93.63</v>
      </c>
    </row>
    <row r="141" spans="1:7" x14ac:dyDescent="0.3">
      <c r="A141">
        <v>3</v>
      </c>
      <c r="B141" t="s">
        <v>9</v>
      </c>
      <c r="C141">
        <v>216</v>
      </c>
      <c r="D141">
        <v>4</v>
      </c>
      <c r="E141">
        <v>3</v>
      </c>
      <c r="F141">
        <v>4</v>
      </c>
      <c r="G141">
        <v>80.819999999999993</v>
      </c>
    </row>
    <row r="142" spans="1:7" x14ac:dyDescent="0.3">
      <c r="A142">
        <v>3</v>
      </c>
      <c r="B142" t="s">
        <v>9</v>
      </c>
      <c r="C142">
        <v>217</v>
      </c>
      <c r="D142">
        <v>5</v>
      </c>
      <c r="E142">
        <v>3</v>
      </c>
      <c r="F142">
        <v>1</v>
      </c>
      <c r="G142">
        <v>91.61</v>
      </c>
    </row>
    <row r="143" spans="1:7" x14ac:dyDescent="0.3">
      <c r="A143">
        <v>3</v>
      </c>
      <c r="B143" t="s">
        <v>9</v>
      </c>
      <c r="C143">
        <v>217</v>
      </c>
      <c r="D143">
        <v>5</v>
      </c>
      <c r="E143">
        <v>3</v>
      </c>
      <c r="F143">
        <v>2</v>
      </c>
      <c r="G143">
        <v>79.02</v>
      </c>
    </row>
    <row r="144" spans="1:7" x14ac:dyDescent="0.3">
      <c r="A144">
        <v>3</v>
      </c>
      <c r="B144" t="s">
        <v>9</v>
      </c>
      <c r="C144">
        <v>217</v>
      </c>
      <c r="D144">
        <v>5</v>
      </c>
      <c r="E144">
        <v>3</v>
      </c>
      <c r="F144">
        <v>3</v>
      </c>
      <c r="G144">
        <v>86.11</v>
      </c>
    </row>
    <row r="145" spans="1:7" x14ac:dyDescent="0.3">
      <c r="A145">
        <v>3</v>
      </c>
      <c r="B145" t="s">
        <v>9</v>
      </c>
      <c r="C145">
        <v>217</v>
      </c>
      <c r="D145">
        <v>5</v>
      </c>
      <c r="E145">
        <v>3</v>
      </c>
      <c r="F145">
        <v>4</v>
      </c>
      <c r="G145">
        <v>82.88</v>
      </c>
    </row>
    <row r="146" spans="1:7" x14ac:dyDescent="0.3">
      <c r="A146">
        <v>3</v>
      </c>
      <c r="B146" t="s">
        <v>9</v>
      </c>
      <c r="C146">
        <v>218</v>
      </c>
      <c r="D146">
        <v>2</v>
      </c>
      <c r="E146">
        <v>1</v>
      </c>
      <c r="F146">
        <v>1</v>
      </c>
      <c r="G146">
        <v>99.65</v>
      </c>
    </row>
    <row r="147" spans="1:7" x14ac:dyDescent="0.3">
      <c r="A147">
        <v>3</v>
      </c>
      <c r="B147" t="s">
        <v>9</v>
      </c>
      <c r="C147">
        <v>218</v>
      </c>
      <c r="D147">
        <v>2</v>
      </c>
      <c r="E147">
        <v>1</v>
      </c>
      <c r="F147">
        <v>2</v>
      </c>
      <c r="G147">
        <v>88.64</v>
      </c>
    </row>
    <row r="148" spans="1:7" x14ac:dyDescent="0.3">
      <c r="A148">
        <v>3</v>
      </c>
      <c r="B148" t="s">
        <v>9</v>
      </c>
      <c r="C148">
        <v>218</v>
      </c>
      <c r="D148">
        <v>2</v>
      </c>
      <c r="E148">
        <v>1</v>
      </c>
      <c r="F148">
        <v>3</v>
      </c>
      <c r="G148">
        <v>86.96</v>
      </c>
    </row>
    <row r="149" spans="1:7" x14ac:dyDescent="0.3">
      <c r="A149">
        <v>3</v>
      </c>
      <c r="B149" t="s">
        <v>9</v>
      </c>
      <c r="C149">
        <v>218</v>
      </c>
      <c r="D149">
        <v>2</v>
      </c>
      <c r="E149">
        <v>1</v>
      </c>
      <c r="F149">
        <v>4</v>
      </c>
      <c r="G149">
        <v>89.25</v>
      </c>
    </row>
    <row r="150" spans="1:7" x14ac:dyDescent="0.3">
      <c r="A150">
        <v>3</v>
      </c>
      <c r="B150" t="s">
        <v>9</v>
      </c>
      <c r="C150">
        <v>219</v>
      </c>
      <c r="D150">
        <v>7</v>
      </c>
      <c r="E150">
        <v>2</v>
      </c>
      <c r="F150">
        <v>1</v>
      </c>
      <c r="G150">
        <v>66.22</v>
      </c>
    </row>
    <row r="151" spans="1:7" x14ac:dyDescent="0.3">
      <c r="A151">
        <v>3</v>
      </c>
      <c r="B151" t="s">
        <v>9</v>
      </c>
      <c r="C151">
        <v>219</v>
      </c>
      <c r="D151">
        <v>7</v>
      </c>
      <c r="E151">
        <v>2</v>
      </c>
      <c r="F151">
        <v>2</v>
      </c>
      <c r="G151">
        <v>82.86</v>
      </c>
    </row>
    <row r="152" spans="1:7" x14ac:dyDescent="0.3">
      <c r="A152">
        <v>3</v>
      </c>
      <c r="B152" t="s">
        <v>9</v>
      </c>
      <c r="C152">
        <v>219</v>
      </c>
      <c r="D152">
        <v>7</v>
      </c>
      <c r="E152">
        <v>2</v>
      </c>
      <c r="F152">
        <v>3</v>
      </c>
      <c r="G152">
        <v>83.4</v>
      </c>
    </row>
    <row r="153" spans="1:7" x14ac:dyDescent="0.3">
      <c r="A153">
        <v>3</v>
      </c>
      <c r="B153" t="s">
        <v>9</v>
      </c>
      <c r="C153">
        <v>219</v>
      </c>
      <c r="D153">
        <v>7</v>
      </c>
      <c r="E153">
        <v>2</v>
      </c>
      <c r="F153">
        <v>4</v>
      </c>
      <c r="G153">
        <v>75.61</v>
      </c>
    </row>
    <row r="154" spans="1:7" x14ac:dyDescent="0.3">
      <c r="A154">
        <v>3</v>
      </c>
      <c r="B154" t="s">
        <v>9</v>
      </c>
      <c r="C154">
        <v>220</v>
      </c>
      <c r="D154">
        <v>3</v>
      </c>
      <c r="E154">
        <v>1</v>
      </c>
      <c r="F154">
        <v>1</v>
      </c>
      <c r="G154">
        <v>87.08</v>
      </c>
    </row>
    <row r="155" spans="1:7" x14ac:dyDescent="0.3">
      <c r="A155">
        <v>3</v>
      </c>
      <c r="B155" t="s">
        <v>9</v>
      </c>
      <c r="C155">
        <v>220</v>
      </c>
      <c r="D155">
        <v>3</v>
      </c>
      <c r="E155">
        <v>1</v>
      </c>
      <c r="F155">
        <v>2</v>
      </c>
      <c r="G155">
        <v>89.32</v>
      </c>
    </row>
    <row r="156" spans="1:7" x14ac:dyDescent="0.3">
      <c r="A156">
        <v>3</v>
      </c>
      <c r="B156" t="s">
        <v>9</v>
      </c>
      <c r="C156">
        <v>220</v>
      </c>
      <c r="D156">
        <v>3</v>
      </c>
      <c r="E156">
        <v>1</v>
      </c>
      <c r="F156">
        <v>3</v>
      </c>
      <c r="G156">
        <v>99.12</v>
      </c>
    </row>
    <row r="157" spans="1:7" x14ac:dyDescent="0.3">
      <c r="A157">
        <v>3</v>
      </c>
      <c r="B157" t="s">
        <v>9</v>
      </c>
      <c r="C157">
        <v>220</v>
      </c>
      <c r="D157">
        <v>3</v>
      </c>
      <c r="E157">
        <v>1</v>
      </c>
      <c r="F157">
        <v>4</v>
      </c>
      <c r="G157">
        <v>85.85</v>
      </c>
    </row>
    <row r="158" spans="1:7" x14ac:dyDescent="0.3">
      <c r="A158">
        <v>3</v>
      </c>
      <c r="B158" t="s">
        <v>9</v>
      </c>
      <c r="C158">
        <v>221</v>
      </c>
      <c r="D158">
        <v>23</v>
      </c>
      <c r="E158">
        <v>2</v>
      </c>
      <c r="F158">
        <v>1</v>
      </c>
      <c r="G158">
        <v>79.53</v>
      </c>
    </row>
    <row r="159" spans="1:7" x14ac:dyDescent="0.3">
      <c r="A159">
        <v>3</v>
      </c>
      <c r="B159" t="s">
        <v>9</v>
      </c>
      <c r="C159">
        <v>221</v>
      </c>
      <c r="D159">
        <v>23</v>
      </c>
      <c r="E159">
        <v>2</v>
      </c>
      <c r="F159">
        <v>2</v>
      </c>
      <c r="G159">
        <v>74.03</v>
      </c>
    </row>
    <row r="160" spans="1:7" x14ac:dyDescent="0.3">
      <c r="A160">
        <v>3</v>
      </c>
      <c r="B160" t="s">
        <v>9</v>
      </c>
      <c r="C160">
        <v>221</v>
      </c>
      <c r="D160">
        <v>23</v>
      </c>
      <c r="E160">
        <v>2</v>
      </c>
      <c r="F160">
        <v>3</v>
      </c>
      <c r="G160">
        <v>78.53</v>
      </c>
    </row>
    <row r="161" spans="1:7" x14ac:dyDescent="0.3">
      <c r="A161">
        <v>3</v>
      </c>
      <c r="B161" t="s">
        <v>9</v>
      </c>
      <c r="C161">
        <v>221</v>
      </c>
      <c r="D161">
        <v>23</v>
      </c>
      <c r="E161">
        <v>2</v>
      </c>
      <c r="F161">
        <v>4</v>
      </c>
      <c r="G161">
        <v>76.709999999999994</v>
      </c>
    </row>
    <row r="162" spans="1:7" x14ac:dyDescent="0.3">
      <c r="A162">
        <v>3</v>
      </c>
      <c r="B162" t="s">
        <v>9</v>
      </c>
      <c r="C162">
        <v>222</v>
      </c>
      <c r="D162">
        <v>6</v>
      </c>
      <c r="E162">
        <v>1</v>
      </c>
      <c r="F162">
        <v>1</v>
      </c>
      <c r="G162">
        <v>93.32</v>
      </c>
    </row>
    <row r="163" spans="1:7" x14ac:dyDescent="0.3">
      <c r="A163">
        <v>3</v>
      </c>
      <c r="B163" t="s">
        <v>9</v>
      </c>
      <c r="C163">
        <v>222</v>
      </c>
      <c r="D163">
        <v>6</v>
      </c>
      <c r="E163">
        <v>1</v>
      </c>
      <c r="F163">
        <v>2</v>
      </c>
      <c r="G163">
        <v>85.71</v>
      </c>
    </row>
    <row r="164" spans="1:7" x14ac:dyDescent="0.3">
      <c r="A164">
        <v>3</v>
      </c>
      <c r="B164" t="s">
        <v>9</v>
      </c>
      <c r="C164">
        <v>222</v>
      </c>
      <c r="D164">
        <v>6</v>
      </c>
      <c r="E164">
        <v>1</v>
      </c>
      <c r="F164">
        <v>3</v>
      </c>
      <c r="G164">
        <v>77.36</v>
      </c>
    </row>
    <row r="165" spans="1:7" x14ac:dyDescent="0.3">
      <c r="A165">
        <v>3</v>
      </c>
      <c r="B165" t="s">
        <v>9</v>
      </c>
      <c r="C165">
        <v>222</v>
      </c>
      <c r="D165">
        <v>6</v>
      </c>
      <c r="E165">
        <v>1</v>
      </c>
      <c r="F165">
        <v>4</v>
      </c>
      <c r="G165">
        <v>91.29</v>
      </c>
    </row>
    <row r="166" spans="1:7" x14ac:dyDescent="0.3">
      <c r="A166">
        <v>4</v>
      </c>
      <c r="B166" t="s">
        <v>8</v>
      </c>
      <c r="C166">
        <v>301</v>
      </c>
      <c r="D166">
        <v>1</v>
      </c>
      <c r="E166">
        <v>2</v>
      </c>
      <c r="F166">
        <v>1</v>
      </c>
      <c r="G166">
        <v>49.61</v>
      </c>
    </row>
    <row r="167" spans="1:7" x14ac:dyDescent="0.3">
      <c r="A167">
        <v>4</v>
      </c>
      <c r="B167" t="s">
        <v>8</v>
      </c>
      <c r="C167">
        <v>301</v>
      </c>
      <c r="D167">
        <v>1</v>
      </c>
      <c r="E167">
        <v>2</v>
      </c>
      <c r="F167">
        <v>2</v>
      </c>
      <c r="G167">
        <v>43.69</v>
      </c>
    </row>
    <row r="168" spans="1:7" x14ac:dyDescent="0.3">
      <c r="A168">
        <v>4</v>
      </c>
      <c r="B168" t="s">
        <v>8</v>
      </c>
      <c r="C168">
        <v>301</v>
      </c>
      <c r="D168">
        <v>1</v>
      </c>
      <c r="E168">
        <v>2</v>
      </c>
      <c r="F168">
        <v>3</v>
      </c>
      <c r="G168">
        <v>54.49</v>
      </c>
    </row>
    <row r="169" spans="1:7" x14ac:dyDescent="0.3">
      <c r="A169">
        <v>4</v>
      </c>
      <c r="B169" t="s">
        <v>8</v>
      </c>
      <c r="C169">
        <v>301</v>
      </c>
      <c r="D169">
        <v>1</v>
      </c>
      <c r="E169">
        <v>2</v>
      </c>
      <c r="F169">
        <v>4</v>
      </c>
      <c r="G169">
        <v>61.25</v>
      </c>
    </row>
    <row r="170" spans="1:7" x14ac:dyDescent="0.3">
      <c r="A170">
        <v>4</v>
      </c>
      <c r="B170" t="s">
        <v>8</v>
      </c>
      <c r="C170">
        <v>302</v>
      </c>
      <c r="D170">
        <v>7</v>
      </c>
      <c r="E170">
        <v>3</v>
      </c>
      <c r="F170">
        <v>1</v>
      </c>
      <c r="G170">
        <v>51.47</v>
      </c>
    </row>
    <row r="171" spans="1:7" x14ac:dyDescent="0.3">
      <c r="A171">
        <v>4</v>
      </c>
      <c r="B171" t="s">
        <v>8</v>
      </c>
      <c r="C171">
        <v>302</v>
      </c>
      <c r="D171">
        <v>7</v>
      </c>
      <c r="E171">
        <v>3</v>
      </c>
      <c r="F171">
        <v>2</v>
      </c>
      <c r="G171">
        <v>53.47</v>
      </c>
    </row>
    <row r="172" spans="1:7" x14ac:dyDescent="0.3">
      <c r="A172">
        <v>4</v>
      </c>
      <c r="B172" t="s">
        <v>8</v>
      </c>
      <c r="C172">
        <v>302</v>
      </c>
      <c r="D172">
        <v>7</v>
      </c>
      <c r="E172">
        <v>3</v>
      </c>
      <c r="F172">
        <v>3</v>
      </c>
      <c r="G172">
        <v>46.83</v>
      </c>
    </row>
    <row r="173" spans="1:7" x14ac:dyDescent="0.3">
      <c r="A173">
        <v>4</v>
      </c>
      <c r="B173" t="s">
        <v>8</v>
      </c>
      <c r="C173">
        <v>302</v>
      </c>
      <c r="D173">
        <v>7</v>
      </c>
      <c r="E173">
        <v>3</v>
      </c>
      <c r="F173">
        <v>4</v>
      </c>
      <c r="G173">
        <v>56.7</v>
      </c>
    </row>
    <row r="174" spans="1:7" x14ac:dyDescent="0.3">
      <c r="A174">
        <v>4</v>
      </c>
      <c r="B174" t="s">
        <v>8</v>
      </c>
      <c r="C174">
        <v>303</v>
      </c>
      <c r="D174">
        <v>9</v>
      </c>
      <c r="E174">
        <v>1</v>
      </c>
      <c r="F174">
        <v>1</v>
      </c>
      <c r="G174">
        <v>55.94</v>
      </c>
    </row>
    <row r="175" spans="1:7" x14ac:dyDescent="0.3">
      <c r="A175">
        <v>4</v>
      </c>
      <c r="B175" t="s">
        <v>8</v>
      </c>
      <c r="C175">
        <v>303</v>
      </c>
      <c r="D175">
        <v>9</v>
      </c>
      <c r="E175">
        <v>1</v>
      </c>
      <c r="F175">
        <v>2</v>
      </c>
      <c r="G175">
        <v>61.36</v>
      </c>
    </row>
    <row r="176" spans="1:7" x14ac:dyDescent="0.3">
      <c r="A176">
        <v>4</v>
      </c>
      <c r="B176" t="s">
        <v>8</v>
      </c>
      <c r="C176">
        <v>303</v>
      </c>
      <c r="D176">
        <v>9</v>
      </c>
      <c r="E176">
        <v>1</v>
      </c>
      <c r="F176">
        <v>3</v>
      </c>
      <c r="G176">
        <v>56.19</v>
      </c>
    </row>
    <row r="177" spans="1:7" x14ac:dyDescent="0.3">
      <c r="A177">
        <v>4</v>
      </c>
      <c r="B177" t="s">
        <v>8</v>
      </c>
      <c r="C177">
        <v>303</v>
      </c>
      <c r="D177">
        <v>9</v>
      </c>
      <c r="E177">
        <v>1</v>
      </c>
      <c r="F177">
        <v>4</v>
      </c>
      <c r="G177">
        <v>62.06</v>
      </c>
    </row>
    <row r="178" spans="1:7" x14ac:dyDescent="0.3">
      <c r="A178">
        <v>4</v>
      </c>
      <c r="B178" t="s">
        <v>8</v>
      </c>
      <c r="C178">
        <v>304</v>
      </c>
      <c r="D178">
        <v>3</v>
      </c>
      <c r="E178">
        <v>1</v>
      </c>
      <c r="F178">
        <v>1</v>
      </c>
      <c r="G178">
        <v>54.01</v>
      </c>
    </row>
    <row r="179" spans="1:7" x14ac:dyDescent="0.3">
      <c r="A179">
        <v>4</v>
      </c>
      <c r="B179" t="s">
        <v>8</v>
      </c>
      <c r="C179">
        <v>304</v>
      </c>
      <c r="D179">
        <v>3</v>
      </c>
      <c r="E179">
        <v>1</v>
      </c>
      <c r="F179">
        <v>2</v>
      </c>
      <c r="G179">
        <v>63.48</v>
      </c>
    </row>
    <row r="180" spans="1:7" x14ac:dyDescent="0.3">
      <c r="A180">
        <v>4</v>
      </c>
      <c r="B180" t="s">
        <v>8</v>
      </c>
      <c r="C180">
        <v>304</v>
      </c>
      <c r="D180">
        <v>3</v>
      </c>
      <c r="E180">
        <v>1</v>
      </c>
      <c r="F180">
        <v>3</v>
      </c>
      <c r="G180">
        <v>61.96</v>
      </c>
    </row>
    <row r="181" spans="1:7" x14ac:dyDescent="0.3">
      <c r="A181">
        <v>4</v>
      </c>
      <c r="B181" t="s">
        <v>8</v>
      </c>
      <c r="C181">
        <v>304</v>
      </c>
      <c r="D181">
        <v>3</v>
      </c>
      <c r="E181">
        <v>1</v>
      </c>
      <c r="F181">
        <v>4</v>
      </c>
      <c r="G181">
        <v>55.3</v>
      </c>
    </row>
    <row r="182" spans="1:7" x14ac:dyDescent="0.3">
      <c r="A182">
        <v>4</v>
      </c>
      <c r="B182" t="s">
        <v>8</v>
      </c>
      <c r="C182">
        <v>305</v>
      </c>
      <c r="D182">
        <v>2</v>
      </c>
      <c r="E182">
        <v>2</v>
      </c>
      <c r="F182">
        <v>1</v>
      </c>
      <c r="G182">
        <v>47.89</v>
      </c>
    </row>
    <row r="183" spans="1:7" x14ac:dyDescent="0.3">
      <c r="A183">
        <v>4</v>
      </c>
      <c r="B183" t="s">
        <v>8</v>
      </c>
      <c r="C183">
        <v>305</v>
      </c>
      <c r="D183">
        <v>2</v>
      </c>
      <c r="E183">
        <v>2</v>
      </c>
      <c r="F183">
        <v>2</v>
      </c>
      <c r="G183">
        <v>52.37</v>
      </c>
    </row>
    <row r="184" spans="1:7" x14ac:dyDescent="0.3">
      <c r="A184">
        <v>4</v>
      </c>
      <c r="B184" t="s">
        <v>8</v>
      </c>
      <c r="C184">
        <v>305</v>
      </c>
      <c r="D184">
        <v>2</v>
      </c>
      <c r="E184">
        <v>2</v>
      </c>
      <c r="F184">
        <v>3</v>
      </c>
      <c r="G184">
        <v>49.11</v>
      </c>
    </row>
    <row r="185" spans="1:7" x14ac:dyDescent="0.3">
      <c r="A185">
        <v>4</v>
      </c>
      <c r="B185" t="s">
        <v>8</v>
      </c>
      <c r="C185">
        <v>305</v>
      </c>
      <c r="D185">
        <v>2</v>
      </c>
      <c r="E185">
        <v>2</v>
      </c>
      <c r="F185">
        <v>4</v>
      </c>
      <c r="G185">
        <v>52.88</v>
      </c>
    </row>
    <row r="186" spans="1:7" x14ac:dyDescent="0.3">
      <c r="A186">
        <v>4</v>
      </c>
      <c r="B186" t="s">
        <v>8</v>
      </c>
      <c r="C186">
        <v>306</v>
      </c>
      <c r="D186">
        <v>13</v>
      </c>
      <c r="E186">
        <v>1</v>
      </c>
      <c r="F186">
        <v>1</v>
      </c>
      <c r="G186">
        <v>53.79</v>
      </c>
    </row>
    <row r="187" spans="1:7" x14ac:dyDescent="0.3">
      <c r="A187">
        <v>4</v>
      </c>
      <c r="B187" t="s">
        <v>8</v>
      </c>
      <c r="C187">
        <v>306</v>
      </c>
      <c r="D187">
        <v>13</v>
      </c>
      <c r="E187">
        <v>1</v>
      </c>
      <c r="F187">
        <v>2</v>
      </c>
      <c r="G187">
        <v>66.959999999999994</v>
      </c>
    </row>
    <row r="188" spans="1:7" x14ac:dyDescent="0.3">
      <c r="A188">
        <v>4</v>
      </c>
      <c r="B188" t="s">
        <v>8</v>
      </c>
      <c r="C188">
        <v>306</v>
      </c>
      <c r="D188">
        <v>13</v>
      </c>
      <c r="E188">
        <v>1</v>
      </c>
      <c r="F188">
        <v>3</v>
      </c>
      <c r="G188">
        <v>57.1</v>
      </c>
    </row>
    <row r="189" spans="1:7" x14ac:dyDescent="0.3">
      <c r="A189">
        <v>4</v>
      </c>
      <c r="B189" t="s">
        <v>8</v>
      </c>
      <c r="C189">
        <v>306</v>
      </c>
      <c r="D189">
        <v>13</v>
      </c>
      <c r="E189">
        <v>1</v>
      </c>
      <c r="F189">
        <v>4</v>
      </c>
      <c r="G189">
        <v>65.12</v>
      </c>
    </row>
    <row r="190" spans="1:7" x14ac:dyDescent="0.3">
      <c r="A190">
        <v>4</v>
      </c>
      <c r="B190" t="s">
        <v>8</v>
      </c>
      <c r="C190">
        <v>307</v>
      </c>
      <c r="D190">
        <v>7</v>
      </c>
      <c r="E190">
        <v>2</v>
      </c>
      <c r="F190">
        <v>1</v>
      </c>
      <c r="G190">
        <v>46.98</v>
      </c>
    </row>
    <row r="191" spans="1:7" x14ac:dyDescent="0.3">
      <c r="A191">
        <v>4</v>
      </c>
      <c r="B191" t="s">
        <v>8</v>
      </c>
      <c r="C191">
        <v>307</v>
      </c>
      <c r="D191">
        <v>7</v>
      </c>
      <c r="E191">
        <v>2</v>
      </c>
      <c r="F191">
        <v>2</v>
      </c>
      <c r="G191">
        <v>53.41</v>
      </c>
    </row>
    <row r="192" spans="1:7" x14ac:dyDescent="0.3">
      <c r="A192">
        <v>4</v>
      </c>
      <c r="B192" t="s">
        <v>8</v>
      </c>
      <c r="C192">
        <v>307</v>
      </c>
      <c r="D192">
        <v>7</v>
      </c>
      <c r="E192">
        <v>2</v>
      </c>
      <c r="F192">
        <v>3</v>
      </c>
      <c r="G192">
        <v>36.17</v>
      </c>
    </row>
    <row r="193" spans="1:7" x14ac:dyDescent="0.3">
      <c r="A193">
        <v>4</v>
      </c>
      <c r="B193" t="s">
        <v>8</v>
      </c>
      <c r="C193">
        <v>307</v>
      </c>
      <c r="D193">
        <v>7</v>
      </c>
      <c r="E193">
        <v>2</v>
      </c>
      <c r="F193">
        <v>4</v>
      </c>
      <c r="G193">
        <v>55.98</v>
      </c>
    </row>
    <row r="194" spans="1:7" x14ac:dyDescent="0.3">
      <c r="A194">
        <v>4</v>
      </c>
      <c r="B194" t="s">
        <v>8</v>
      </c>
      <c r="C194">
        <v>308</v>
      </c>
      <c r="D194">
        <v>28</v>
      </c>
      <c r="E194">
        <v>2</v>
      </c>
      <c r="F194">
        <v>1</v>
      </c>
      <c r="G194">
        <v>51.87</v>
      </c>
    </row>
    <row r="195" spans="1:7" x14ac:dyDescent="0.3">
      <c r="A195">
        <v>4</v>
      </c>
      <c r="B195" t="s">
        <v>8</v>
      </c>
      <c r="C195">
        <v>308</v>
      </c>
      <c r="D195">
        <v>28</v>
      </c>
      <c r="E195">
        <v>2</v>
      </c>
      <c r="F195">
        <v>2</v>
      </c>
      <c r="G195">
        <v>58.01</v>
      </c>
    </row>
    <row r="196" spans="1:7" x14ac:dyDescent="0.3">
      <c r="A196">
        <v>4</v>
      </c>
      <c r="B196" t="s">
        <v>8</v>
      </c>
      <c r="C196">
        <v>308</v>
      </c>
      <c r="D196">
        <v>28</v>
      </c>
      <c r="E196">
        <v>2</v>
      </c>
      <c r="F196">
        <v>3</v>
      </c>
      <c r="G196">
        <v>47.93</v>
      </c>
    </row>
    <row r="197" spans="1:7" x14ac:dyDescent="0.3">
      <c r="A197">
        <v>4</v>
      </c>
      <c r="B197" t="s">
        <v>8</v>
      </c>
      <c r="C197">
        <v>308</v>
      </c>
      <c r="D197">
        <v>28</v>
      </c>
      <c r="E197">
        <v>2</v>
      </c>
      <c r="F197">
        <v>4</v>
      </c>
      <c r="G197">
        <v>51.33</v>
      </c>
    </row>
    <row r="198" spans="1:7" x14ac:dyDescent="0.3">
      <c r="A198">
        <v>4</v>
      </c>
      <c r="B198" t="s">
        <v>8</v>
      </c>
      <c r="C198">
        <v>309</v>
      </c>
      <c r="D198">
        <v>8</v>
      </c>
      <c r="E198">
        <v>1</v>
      </c>
      <c r="F198">
        <v>1</v>
      </c>
      <c r="G198">
        <v>62.16</v>
      </c>
    </row>
    <row r="199" spans="1:7" x14ac:dyDescent="0.3">
      <c r="A199">
        <v>4</v>
      </c>
      <c r="B199" t="s">
        <v>8</v>
      </c>
      <c r="C199">
        <v>309</v>
      </c>
      <c r="D199">
        <v>8</v>
      </c>
      <c r="E199">
        <v>1</v>
      </c>
      <c r="F199">
        <v>2</v>
      </c>
      <c r="G199">
        <v>54.06</v>
      </c>
    </row>
    <row r="200" spans="1:7" x14ac:dyDescent="0.3">
      <c r="A200">
        <v>4</v>
      </c>
      <c r="B200" t="s">
        <v>8</v>
      </c>
      <c r="C200">
        <v>309</v>
      </c>
      <c r="D200">
        <v>8</v>
      </c>
      <c r="E200">
        <v>1</v>
      </c>
      <c r="F200">
        <v>3</v>
      </c>
      <c r="G200">
        <v>51.72</v>
      </c>
    </row>
    <row r="201" spans="1:7" x14ac:dyDescent="0.3">
      <c r="A201">
        <v>4</v>
      </c>
      <c r="B201" t="s">
        <v>8</v>
      </c>
      <c r="C201">
        <v>309</v>
      </c>
      <c r="D201">
        <v>8</v>
      </c>
      <c r="E201">
        <v>1</v>
      </c>
      <c r="F201">
        <v>4</v>
      </c>
      <c r="G201">
        <v>59.64</v>
      </c>
    </row>
    <row r="202" spans="1:7" x14ac:dyDescent="0.3">
      <c r="A202">
        <v>5</v>
      </c>
      <c r="B202" t="s">
        <v>7</v>
      </c>
      <c r="C202">
        <v>401</v>
      </c>
      <c r="D202">
        <v>5</v>
      </c>
      <c r="E202">
        <v>3</v>
      </c>
      <c r="F202">
        <v>1</v>
      </c>
      <c r="G202">
        <v>52.23</v>
      </c>
    </row>
    <row r="203" spans="1:7" x14ac:dyDescent="0.3">
      <c r="A203">
        <v>5</v>
      </c>
      <c r="B203" t="s">
        <v>7</v>
      </c>
      <c r="C203">
        <v>401</v>
      </c>
      <c r="D203">
        <v>5</v>
      </c>
      <c r="E203">
        <v>3</v>
      </c>
      <c r="F203">
        <v>2</v>
      </c>
      <c r="G203">
        <v>51.68</v>
      </c>
    </row>
    <row r="204" spans="1:7" x14ac:dyDescent="0.3">
      <c r="A204">
        <v>5</v>
      </c>
      <c r="B204" t="s">
        <v>7</v>
      </c>
      <c r="C204">
        <v>401</v>
      </c>
      <c r="D204">
        <v>5</v>
      </c>
      <c r="E204">
        <v>3</v>
      </c>
      <c r="F204">
        <v>3</v>
      </c>
      <c r="G204">
        <v>46.22</v>
      </c>
    </row>
    <row r="205" spans="1:7" x14ac:dyDescent="0.3">
      <c r="A205">
        <v>5</v>
      </c>
      <c r="B205" t="s">
        <v>7</v>
      </c>
      <c r="C205">
        <v>401</v>
      </c>
      <c r="D205">
        <v>5</v>
      </c>
      <c r="E205">
        <v>3</v>
      </c>
      <c r="F205">
        <v>4</v>
      </c>
      <c r="G205">
        <v>46.03</v>
      </c>
    </row>
    <row r="206" spans="1:7" x14ac:dyDescent="0.3">
      <c r="A206">
        <v>5</v>
      </c>
      <c r="B206" t="s">
        <v>7</v>
      </c>
      <c r="C206">
        <v>402</v>
      </c>
      <c r="D206">
        <v>25</v>
      </c>
      <c r="E206">
        <v>2</v>
      </c>
      <c r="F206">
        <v>1</v>
      </c>
      <c r="G206">
        <v>40.4</v>
      </c>
    </row>
    <row r="207" spans="1:7" x14ac:dyDescent="0.3">
      <c r="A207">
        <v>5</v>
      </c>
      <c r="B207" t="s">
        <v>7</v>
      </c>
      <c r="C207">
        <v>402</v>
      </c>
      <c r="D207">
        <v>25</v>
      </c>
      <c r="E207">
        <v>2</v>
      </c>
      <c r="F207">
        <v>2</v>
      </c>
      <c r="G207">
        <v>50.28</v>
      </c>
    </row>
    <row r="208" spans="1:7" x14ac:dyDescent="0.3">
      <c r="A208">
        <v>5</v>
      </c>
      <c r="B208" t="s">
        <v>7</v>
      </c>
      <c r="C208">
        <v>402</v>
      </c>
      <c r="D208">
        <v>25</v>
      </c>
      <c r="E208">
        <v>2</v>
      </c>
      <c r="F208">
        <v>3</v>
      </c>
      <c r="G208">
        <v>52.72</v>
      </c>
    </row>
    <row r="209" spans="1:7" x14ac:dyDescent="0.3">
      <c r="A209">
        <v>5</v>
      </c>
      <c r="B209" t="s">
        <v>7</v>
      </c>
      <c r="C209">
        <v>402</v>
      </c>
      <c r="D209">
        <v>25</v>
      </c>
      <c r="E209">
        <v>2</v>
      </c>
      <c r="F209">
        <v>4</v>
      </c>
      <c r="G209">
        <v>38.299999999999997</v>
      </c>
    </row>
    <row r="210" spans="1:7" x14ac:dyDescent="0.3">
      <c r="A210">
        <v>5</v>
      </c>
      <c r="B210" t="s">
        <v>7</v>
      </c>
      <c r="C210">
        <v>403</v>
      </c>
      <c r="D210">
        <v>19</v>
      </c>
      <c r="E210">
        <v>2</v>
      </c>
      <c r="F210">
        <v>1</v>
      </c>
      <c r="G210">
        <v>51.79</v>
      </c>
    </row>
    <row r="211" spans="1:7" x14ac:dyDescent="0.3">
      <c r="A211">
        <v>5</v>
      </c>
      <c r="B211" t="s">
        <v>7</v>
      </c>
      <c r="C211">
        <v>403</v>
      </c>
      <c r="D211">
        <v>19</v>
      </c>
      <c r="E211">
        <v>2</v>
      </c>
      <c r="F211">
        <v>2</v>
      </c>
      <c r="G211">
        <v>42.56</v>
      </c>
    </row>
    <row r="212" spans="1:7" x14ac:dyDescent="0.3">
      <c r="A212">
        <v>5</v>
      </c>
      <c r="B212" t="s">
        <v>7</v>
      </c>
      <c r="C212">
        <v>403</v>
      </c>
      <c r="D212">
        <v>19</v>
      </c>
      <c r="E212">
        <v>2</v>
      </c>
      <c r="F212">
        <v>3</v>
      </c>
      <c r="G212">
        <v>44.64</v>
      </c>
    </row>
    <row r="213" spans="1:7" x14ac:dyDescent="0.3">
      <c r="A213">
        <v>5</v>
      </c>
      <c r="B213" t="s">
        <v>7</v>
      </c>
      <c r="C213">
        <v>403</v>
      </c>
      <c r="D213">
        <v>19</v>
      </c>
      <c r="E213">
        <v>2</v>
      </c>
      <c r="F213">
        <v>4</v>
      </c>
      <c r="G213">
        <v>45.11</v>
      </c>
    </row>
    <row r="214" spans="1:7" x14ac:dyDescent="0.3">
      <c r="A214">
        <v>5</v>
      </c>
      <c r="B214" t="s">
        <v>7</v>
      </c>
      <c r="C214">
        <v>404</v>
      </c>
      <c r="D214">
        <v>8</v>
      </c>
      <c r="E214">
        <v>2</v>
      </c>
      <c r="F214">
        <v>1</v>
      </c>
      <c r="G214">
        <v>42.15</v>
      </c>
    </row>
    <row r="215" spans="1:7" x14ac:dyDescent="0.3">
      <c r="A215">
        <v>5</v>
      </c>
      <c r="B215" t="s">
        <v>7</v>
      </c>
      <c r="C215">
        <v>404</v>
      </c>
      <c r="D215">
        <v>8</v>
      </c>
      <c r="E215">
        <v>2</v>
      </c>
      <c r="F215">
        <v>2</v>
      </c>
      <c r="G215">
        <v>42.59</v>
      </c>
    </row>
    <row r="216" spans="1:7" x14ac:dyDescent="0.3">
      <c r="A216">
        <v>5</v>
      </c>
      <c r="B216" t="s">
        <v>7</v>
      </c>
      <c r="C216">
        <v>404</v>
      </c>
      <c r="D216">
        <v>8</v>
      </c>
      <c r="E216">
        <v>2</v>
      </c>
      <c r="F216">
        <v>3</v>
      </c>
      <c r="G216">
        <v>49.56</v>
      </c>
    </row>
    <row r="217" spans="1:7" x14ac:dyDescent="0.3">
      <c r="A217">
        <v>5</v>
      </c>
      <c r="B217" t="s">
        <v>7</v>
      </c>
      <c r="C217">
        <v>404</v>
      </c>
      <c r="D217">
        <v>8</v>
      </c>
      <c r="E217">
        <v>2</v>
      </c>
      <c r="F217">
        <v>4</v>
      </c>
      <c r="G217">
        <v>39.25</v>
      </c>
    </row>
    <row r="218" spans="1:7" x14ac:dyDescent="0.3">
      <c r="A218">
        <v>5</v>
      </c>
      <c r="B218" t="s">
        <v>7</v>
      </c>
      <c r="C218">
        <v>405</v>
      </c>
      <c r="D218">
        <v>4</v>
      </c>
      <c r="E218">
        <v>2</v>
      </c>
      <c r="F218">
        <v>1</v>
      </c>
      <c r="G218">
        <v>48.18</v>
      </c>
    </row>
    <row r="219" spans="1:7" x14ac:dyDescent="0.3">
      <c r="A219">
        <v>5</v>
      </c>
      <c r="B219" t="s">
        <v>7</v>
      </c>
      <c r="C219">
        <v>405</v>
      </c>
      <c r="D219">
        <v>4</v>
      </c>
      <c r="E219">
        <v>2</v>
      </c>
      <c r="F219">
        <v>2</v>
      </c>
      <c r="G219">
        <v>48.25</v>
      </c>
    </row>
    <row r="220" spans="1:7" x14ac:dyDescent="0.3">
      <c r="A220">
        <v>5</v>
      </c>
      <c r="B220" t="s">
        <v>7</v>
      </c>
      <c r="C220">
        <v>405</v>
      </c>
      <c r="D220">
        <v>4</v>
      </c>
      <c r="E220">
        <v>2</v>
      </c>
      <c r="F220">
        <v>3</v>
      </c>
      <c r="G220">
        <v>46.42</v>
      </c>
    </row>
    <row r="221" spans="1:7" x14ac:dyDescent="0.3">
      <c r="A221">
        <v>5</v>
      </c>
      <c r="B221" t="s">
        <v>7</v>
      </c>
      <c r="C221">
        <v>405</v>
      </c>
      <c r="D221">
        <v>4</v>
      </c>
      <c r="E221">
        <v>2</v>
      </c>
      <c r="F221">
        <v>4</v>
      </c>
      <c r="G221">
        <v>43.77</v>
      </c>
    </row>
    <row r="222" spans="1:7" x14ac:dyDescent="0.3">
      <c r="A222">
        <v>5</v>
      </c>
      <c r="B222" t="s">
        <v>7</v>
      </c>
      <c r="C222">
        <v>406</v>
      </c>
      <c r="D222">
        <v>3</v>
      </c>
      <c r="E222">
        <v>2</v>
      </c>
      <c r="F222">
        <v>1</v>
      </c>
      <c r="G222">
        <v>45.3</v>
      </c>
    </row>
    <row r="223" spans="1:7" x14ac:dyDescent="0.3">
      <c r="A223">
        <v>5</v>
      </c>
      <c r="B223" t="s">
        <v>7</v>
      </c>
      <c r="C223">
        <v>406</v>
      </c>
      <c r="D223">
        <v>3</v>
      </c>
      <c r="E223">
        <v>2</v>
      </c>
      <c r="F223">
        <v>2</v>
      </c>
      <c r="G223">
        <v>48.84</v>
      </c>
    </row>
    <row r="224" spans="1:7" x14ac:dyDescent="0.3">
      <c r="A224">
        <v>5</v>
      </c>
      <c r="B224" t="s">
        <v>7</v>
      </c>
      <c r="C224">
        <v>406</v>
      </c>
      <c r="D224">
        <v>3</v>
      </c>
      <c r="E224">
        <v>2</v>
      </c>
      <c r="F224">
        <v>3</v>
      </c>
      <c r="G224">
        <v>45.08</v>
      </c>
    </row>
    <row r="225" spans="1:7" x14ac:dyDescent="0.3">
      <c r="A225">
        <v>5</v>
      </c>
      <c r="B225" t="s">
        <v>7</v>
      </c>
      <c r="C225">
        <v>406</v>
      </c>
      <c r="D225">
        <v>3</v>
      </c>
      <c r="E225">
        <v>2</v>
      </c>
      <c r="F225">
        <v>4</v>
      </c>
      <c r="G225">
        <v>44.67</v>
      </c>
    </row>
    <row r="226" spans="1:7" x14ac:dyDescent="0.3">
      <c r="A226">
        <v>5</v>
      </c>
      <c r="B226" t="s">
        <v>7</v>
      </c>
      <c r="C226">
        <v>407</v>
      </c>
      <c r="D226">
        <v>6</v>
      </c>
      <c r="E226">
        <v>3</v>
      </c>
      <c r="F226">
        <v>1</v>
      </c>
      <c r="G226">
        <v>45.56</v>
      </c>
    </row>
    <row r="227" spans="1:7" x14ac:dyDescent="0.3">
      <c r="A227">
        <v>5</v>
      </c>
      <c r="B227" t="s">
        <v>7</v>
      </c>
      <c r="C227">
        <v>407</v>
      </c>
      <c r="D227">
        <v>6</v>
      </c>
      <c r="E227">
        <v>3</v>
      </c>
      <c r="F227">
        <v>2</v>
      </c>
      <c r="G227">
        <v>55.19</v>
      </c>
    </row>
    <row r="228" spans="1:7" x14ac:dyDescent="0.3">
      <c r="A228">
        <v>5</v>
      </c>
      <c r="B228" t="s">
        <v>7</v>
      </c>
      <c r="C228">
        <v>407</v>
      </c>
      <c r="D228">
        <v>6</v>
      </c>
      <c r="E228">
        <v>3</v>
      </c>
      <c r="F228">
        <v>3</v>
      </c>
      <c r="G228">
        <v>37.840000000000003</v>
      </c>
    </row>
    <row r="229" spans="1:7" x14ac:dyDescent="0.3">
      <c r="A229">
        <v>5</v>
      </c>
      <c r="B229" t="s">
        <v>7</v>
      </c>
      <c r="C229">
        <v>407</v>
      </c>
      <c r="D229">
        <v>6</v>
      </c>
      <c r="E229">
        <v>3</v>
      </c>
      <c r="F229">
        <v>4</v>
      </c>
      <c r="G229">
        <v>50.07</v>
      </c>
    </row>
    <row r="230" spans="1:7" x14ac:dyDescent="0.3">
      <c r="A230">
        <v>5</v>
      </c>
      <c r="B230" t="s">
        <v>7</v>
      </c>
      <c r="C230">
        <v>408</v>
      </c>
      <c r="D230">
        <v>9</v>
      </c>
      <c r="E230">
        <v>2</v>
      </c>
      <c r="F230">
        <v>1</v>
      </c>
      <c r="G230">
        <v>47.33</v>
      </c>
    </row>
    <row r="231" spans="1:7" x14ac:dyDescent="0.3">
      <c r="A231">
        <v>5</v>
      </c>
      <c r="B231" t="s">
        <v>7</v>
      </c>
      <c r="C231">
        <v>408</v>
      </c>
      <c r="D231">
        <v>9</v>
      </c>
      <c r="E231">
        <v>2</v>
      </c>
      <c r="F231">
        <v>2</v>
      </c>
      <c r="G231">
        <v>45.42</v>
      </c>
    </row>
    <row r="232" spans="1:7" x14ac:dyDescent="0.3">
      <c r="A232">
        <v>5</v>
      </c>
      <c r="B232" t="s">
        <v>7</v>
      </c>
      <c r="C232">
        <v>408</v>
      </c>
      <c r="D232">
        <v>9</v>
      </c>
      <c r="E232">
        <v>2</v>
      </c>
      <c r="F232">
        <v>3</v>
      </c>
      <c r="G232">
        <v>44.31</v>
      </c>
    </row>
    <row r="233" spans="1:7" x14ac:dyDescent="0.3">
      <c r="A233">
        <v>5</v>
      </c>
      <c r="B233" t="s">
        <v>7</v>
      </c>
      <c r="C233">
        <v>408</v>
      </c>
      <c r="D233">
        <v>9</v>
      </c>
      <c r="E233">
        <v>2</v>
      </c>
      <c r="F233">
        <v>4</v>
      </c>
      <c r="G233">
        <v>40.26</v>
      </c>
    </row>
    <row r="234" spans="1:7" x14ac:dyDescent="0.3">
      <c r="A234">
        <v>5</v>
      </c>
      <c r="B234" t="s">
        <v>7</v>
      </c>
      <c r="C234">
        <v>409</v>
      </c>
      <c r="D234">
        <v>14</v>
      </c>
      <c r="E234">
        <v>2</v>
      </c>
      <c r="F234">
        <v>1</v>
      </c>
      <c r="G234">
        <v>43.27</v>
      </c>
    </row>
    <row r="235" spans="1:7" x14ac:dyDescent="0.3">
      <c r="A235">
        <v>5</v>
      </c>
      <c r="B235" t="s">
        <v>7</v>
      </c>
      <c r="C235">
        <v>409</v>
      </c>
      <c r="D235">
        <v>14</v>
      </c>
      <c r="E235">
        <v>2</v>
      </c>
      <c r="F235">
        <v>2</v>
      </c>
      <c r="G235">
        <v>48.33</v>
      </c>
    </row>
    <row r="236" spans="1:7" x14ac:dyDescent="0.3">
      <c r="A236">
        <v>5</v>
      </c>
      <c r="B236" t="s">
        <v>7</v>
      </c>
      <c r="C236">
        <v>409</v>
      </c>
      <c r="D236">
        <v>14</v>
      </c>
      <c r="E236">
        <v>2</v>
      </c>
      <c r="F236">
        <v>3</v>
      </c>
      <c r="G236">
        <v>44.14</v>
      </c>
    </row>
    <row r="237" spans="1:7" x14ac:dyDescent="0.3">
      <c r="A237">
        <v>5</v>
      </c>
      <c r="B237" t="s">
        <v>7</v>
      </c>
      <c r="C237">
        <v>409</v>
      </c>
      <c r="D237">
        <v>14</v>
      </c>
      <c r="E237">
        <v>2</v>
      </c>
      <c r="F237">
        <v>4</v>
      </c>
      <c r="G237">
        <v>51.5</v>
      </c>
    </row>
    <row r="238" spans="1:7" x14ac:dyDescent="0.3">
      <c r="A238">
        <v>5</v>
      </c>
      <c r="B238" t="s">
        <v>7</v>
      </c>
      <c r="C238">
        <v>410</v>
      </c>
      <c r="D238">
        <v>11</v>
      </c>
      <c r="E238">
        <v>1</v>
      </c>
      <c r="F238">
        <v>1</v>
      </c>
      <c r="G238">
        <v>49.95</v>
      </c>
    </row>
    <row r="239" spans="1:7" x14ac:dyDescent="0.3">
      <c r="A239">
        <v>5</v>
      </c>
      <c r="B239" t="s">
        <v>7</v>
      </c>
      <c r="C239">
        <v>410</v>
      </c>
      <c r="D239">
        <v>11</v>
      </c>
      <c r="E239">
        <v>1</v>
      </c>
      <c r="F239">
        <v>2</v>
      </c>
      <c r="G239">
        <v>55.11</v>
      </c>
    </row>
    <row r="240" spans="1:7" x14ac:dyDescent="0.3">
      <c r="A240">
        <v>5</v>
      </c>
      <c r="B240" t="s">
        <v>7</v>
      </c>
      <c r="C240">
        <v>410</v>
      </c>
      <c r="D240">
        <v>11</v>
      </c>
      <c r="E240">
        <v>1</v>
      </c>
      <c r="F240">
        <v>3</v>
      </c>
      <c r="G240">
        <v>55.28</v>
      </c>
    </row>
    <row r="241" spans="1:7" x14ac:dyDescent="0.3">
      <c r="A241">
        <v>5</v>
      </c>
      <c r="B241" t="s">
        <v>7</v>
      </c>
      <c r="C241">
        <v>410</v>
      </c>
      <c r="D241">
        <v>11</v>
      </c>
      <c r="E241">
        <v>1</v>
      </c>
      <c r="F241">
        <v>4</v>
      </c>
      <c r="G241">
        <v>54.7</v>
      </c>
    </row>
    <row r="242" spans="1:7" x14ac:dyDescent="0.3">
      <c r="A242">
        <v>5</v>
      </c>
      <c r="B242" t="s">
        <v>7</v>
      </c>
      <c r="C242">
        <v>411</v>
      </c>
      <c r="D242">
        <v>23</v>
      </c>
      <c r="E242">
        <v>3</v>
      </c>
      <c r="F242">
        <v>1</v>
      </c>
      <c r="G242">
        <v>50.11</v>
      </c>
    </row>
    <row r="243" spans="1:7" x14ac:dyDescent="0.3">
      <c r="A243">
        <v>5</v>
      </c>
      <c r="B243" t="s">
        <v>7</v>
      </c>
      <c r="C243">
        <v>411</v>
      </c>
      <c r="D243">
        <v>23</v>
      </c>
      <c r="E243">
        <v>3</v>
      </c>
      <c r="F243">
        <v>2</v>
      </c>
      <c r="G243">
        <v>55.59</v>
      </c>
    </row>
    <row r="244" spans="1:7" x14ac:dyDescent="0.3">
      <c r="A244">
        <v>5</v>
      </c>
      <c r="B244" t="s">
        <v>7</v>
      </c>
      <c r="C244">
        <v>411</v>
      </c>
      <c r="D244">
        <v>23</v>
      </c>
      <c r="E244">
        <v>3</v>
      </c>
      <c r="F244">
        <v>3</v>
      </c>
      <c r="G244">
        <v>54.37</v>
      </c>
    </row>
    <row r="245" spans="1:7" x14ac:dyDescent="0.3">
      <c r="A245">
        <v>5</v>
      </c>
      <c r="B245" t="s">
        <v>7</v>
      </c>
      <c r="C245">
        <v>411</v>
      </c>
      <c r="D245">
        <v>23</v>
      </c>
      <c r="E245">
        <v>3</v>
      </c>
      <c r="F245">
        <v>4</v>
      </c>
      <c r="G245">
        <v>51.91</v>
      </c>
    </row>
    <row r="246" spans="1:7" x14ac:dyDescent="0.3">
      <c r="A246">
        <v>5</v>
      </c>
      <c r="B246" t="s">
        <v>7</v>
      </c>
      <c r="C246">
        <v>412</v>
      </c>
      <c r="D246">
        <v>6</v>
      </c>
      <c r="E246">
        <v>1</v>
      </c>
      <c r="F246">
        <v>1</v>
      </c>
      <c r="G246">
        <v>59.34</v>
      </c>
    </row>
    <row r="247" spans="1:7" x14ac:dyDescent="0.3">
      <c r="A247">
        <v>5</v>
      </c>
      <c r="B247" t="s">
        <v>7</v>
      </c>
      <c r="C247">
        <v>412</v>
      </c>
      <c r="D247">
        <v>6</v>
      </c>
      <c r="E247">
        <v>1</v>
      </c>
      <c r="F247">
        <v>2</v>
      </c>
      <c r="G247">
        <v>62.63</v>
      </c>
    </row>
    <row r="248" spans="1:7" x14ac:dyDescent="0.3">
      <c r="A248">
        <v>5</v>
      </c>
      <c r="B248" t="s">
        <v>7</v>
      </c>
      <c r="C248">
        <v>412</v>
      </c>
      <c r="D248">
        <v>6</v>
      </c>
      <c r="E248">
        <v>1</v>
      </c>
      <c r="F248">
        <v>3</v>
      </c>
      <c r="G248">
        <v>49.08</v>
      </c>
    </row>
    <row r="249" spans="1:7" x14ac:dyDescent="0.3">
      <c r="A249">
        <v>5</v>
      </c>
      <c r="B249" t="s">
        <v>7</v>
      </c>
      <c r="C249">
        <v>412</v>
      </c>
      <c r="D249">
        <v>6</v>
      </c>
      <c r="E249">
        <v>1</v>
      </c>
      <c r="F249">
        <v>4</v>
      </c>
      <c r="G249">
        <v>58.04</v>
      </c>
    </row>
    <row r="250" spans="1:7" x14ac:dyDescent="0.3">
      <c r="A250">
        <v>5</v>
      </c>
      <c r="B250" t="s">
        <v>7</v>
      </c>
      <c r="C250">
        <v>413</v>
      </c>
      <c r="D250">
        <v>1</v>
      </c>
      <c r="E250">
        <v>2</v>
      </c>
      <c r="F250">
        <v>1</v>
      </c>
      <c r="G250">
        <v>46.26</v>
      </c>
    </row>
    <row r="251" spans="1:7" x14ac:dyDescent="0.3">
      <c r="A251">
        <v>5</v>
      </c>
      <c r="B251" t="s">
        <v>7</v>
      </c>
      <c r="C251">
        <v>413</v>
      </c>
      <c r="D251">
        <v>1</v>
      </c>
      <c r="E251">
        <v>2</v>
      </c>
      <c r="F251">
        <v>2</v>
      </c>
      <c r="G251">
        <v>47.71</v>
      </c>
    </row>
    <row r="252" spans="1:7" x14ac:dyDescent="0.3">
      <c r="A252">
        <v>5</v>
      </c>
      <c r="B252" t="s">
        <v>7</v>
      </c>
      <c r="C252">
        <v>413</v>
      </c>
      <c r="D252">
        <v>1</v>
      </c>
      <c r="E252">
        <v>2</v>
      </c>
      <c r="F252">
        <v>3</v>
      </c>
      <c r="G252">
        <v>54.09</v>
      </c>
    </row>
    <row r="253" spans="1:7" x14ac:dyDescent="0.3">
      <c r="A253">
        <v>5</v>
      </c>
      <c r="B253" t="s">
        <v>7</v>
      </c>
      <c r="C253">
        <v>413</v>
      </c>
      <c r="D253">
        <v>1</v>
      </c>
      <c r="E253">
        <v>2</v>
      </c>
      <c r="F253">
        <v>4</v>
      </c>
      <c r="G253">
        <v>46.89</v>
      </c>
    </row>
    <row r="254" spans="1:7" x14ac:dyDescent="0.3">
      <c r="A254">
        <v>5</v>
      </c>
      <c r="B254" t="s">
        <v>7</v>
      </c>
      <c r="C254">
        <v>414</v>
      </c>
      <c r="D254">
        <v>1</v>
      </c>
      <c r="E254">
        <v>3</v>
      </c>
      <c r="F254">
        <v>1</v>
      </c>
      <c r="G254">
        <v>57.37</v>
      </c>
    </row>
    <row r="255" spans="1:7" x14ac:dyDescent="0.3">
      <c r="A255">
        <v>5</v>
      </c>
      <c r="B255" t="s">
        <v>7</v>
      </c>
      <c r="C255">
        <v>414</v>
      </c>
      <c r="D255">
        <v>1</v>
      </c>
      <c r="E255">
        <v>3</v>
      </c>
      <c r="F255">
        <v>2</v>
      </c>
      <c r="G255">
        <v>55.53</v>
      </c>
    </row>
    <row r="256" spans="1:7" x14ac:dyDescent="0.3">
      <c r="A256">
        <v>5</v>
      </c>
      <c r="B256" t="s">
        <v>7</v>
      </c>
      <c r="C256">
        <v>414</v>
      </c>
      <c r="D256">
        <v>1</v>
      </c>
      <c r="E256">
        <v>3</v>
      </c>
      <c r="F256">
        <v>3</v>
      </c>
      <c r="G256">
        <v>51.16</v>
      </c>
    </row>
    <row r="257" spans="1:7" x14ac:dyDescent="0.3">
      <c r="A257">
        <v>5</v>
      </c>
      <c r="B257" t="s">
        <v>7</v>
      </c>
      <c r="C257">
        <v>414</v>
      </c>
      <c r="D257">
        <v>1</v>
      </c>
      <c r="E257">
        <v>3</v>
      </c>
      <c r="F257">
        <v>4</v>
      </c>
      <c r="G257">
        <v>57.06</v>
      </c>
    </row>
    <row r="258" spans="1:7" x14ac:dyDescent="0.3">
      <c r="A258">
        <v>5</v>
      </c>
      <c r="B258" t="s">
        <v>7</v>
      </c>
      <c r="C258">
        <v>415</v>
      </c>
      <c r="D258">
        <v>12</v>
      </c>
      <c r="E258">
        <v>3</v>
      </c>
      <c r="F258">
        <v>1</v>
      </c>
      <c r="G258">
        <v>50.59</v>
      </c>
    </row>
    <row r="259" spans="1:7" x14ac:dyDescent="0.3">
      <c r="A259">
        <v>5</v>
      </c>
      <c r="B259" t="s">
        <v>7</v>
      </c>
      <c r="C259">
        <v>415</v>
      </c>
      <c r="D259">
        <v>12</v>
      </c>
      <c r="E259">
        <v>3</v>
      </c>
      <c r="F259">
        <v>2</v>
      </c>
      <c r="G259">
        <v>48.64</v>
      </c>
    </row>
    <row r="260" spans="1:7" x14ac:dyDescent="0.3">
      <c r="A260">
        <v>5</v>
      </c>
      <c r="B260" t="s">
        <v>7</v>
      </c>
      <c r="C260">
        <v>415</v>
      </c>
      <c r="D260">
        <v>12</v>
      </c>
      <c r="E260">
        <v>3</v>
      </c>
      <c r="F260">
        <v>3</v>
      </c>
      <c r="G260">
        <v>50.55</v>
      </c>
    </row>
    <row r="261" spans="1:7" x14ac:dyDescent="0.3">
      <c r="A261">
        <v>5</v>
      </c>
      <c r="B261" t="s">
        <v>7</v>
      </c>
      <c r="C261">
        <v>415</v>
      </c>
      <c r="D261">
        <v>12</v>
      </c>
      <c r="E261">
        <v>3</v>
      </c>
      <c r="F261">
        <v>4</v>
      </c>
      <c r="G261">
        <v>49.08</v>
      </c>
    </row>
    <row r="262" spans="1:7" x14ac:dyDescent="0.3">
      <c r="A262">
        <v>6</v>
      </c>
      <c r="B262" t="s">
        <v>7</v>
      </c>
      <c r="C262">
        <v>501</v>
      </c>
      <c r="D262">
        <v>6</v>
      </c>
      <c r="E262">
        <v>3</v>
      </c>
      <c r="F262">
        <v>1</v>
      </c>
      <c r="G262">
        <v>24.75</v>
      </c>
    </row>
    <row r="263" spans="1:7" x14ac:dyDescent="0.3">
      <c r="A263">
        <v>6</v>
      </c>
      <c r="B263" t="s">
        <v>7</v>
      </c>
      <c r="C263">
        <v>501</v>
      </c>
      <c r="D263">
        <v>6</v>
      </c>
      <c r="E263">
        <v>3</v>
      </c>
      <c r="F263">
        <v>2</v>
      </c>
      <c r="G263">
        <v>41.47</v>
      </c>
    </row>
    <row r="264" spans="1:7" x14ac:dyDescent="0.3">
      <c r="A264">
        <v>6</v>
      </c>
      <c r="B264" t="s">
        <v>7</v>
      </c>
      <c r="C264">
        <v>501</v>
      </c>
      <c r="D264">
        <v>6</v>
      </c>
      <c r="E264">
        <v>3</v>
      </c>
      <c r="F264">
        <v>3</v>
      </c>
      <c r="G264">
        <v>35.1</v>
      </c>
    </row>
    <row r="265" spans="1:7" x14ac:dyDescent="0.3">
      <c r="A265">
        <v>6</v>
      </c>
      <c r="B265" t="s">
        <v>7</v>
      </c>
      <c r="C265">
        <v>501</v>
      </c>
      <c r="D265">
        <v>6</v>
      </c>
      <c r="E265">
        <v>3</v>
      </c>
      <c r="F265">
        <v>4</v>
      </c>
      <c r="G265">
        <v>34.33</v>
      </c>
    </row>
    <row r="266" spans="1:7" x14ac:dyDescent="0.3">
      <c r="A266">
        <v>6</v>
      </c>
      <c r="B266" t="s">
        <v>7</v>
      </c>
      <c r="C266">
        <v>502</v>
      </c>
      <c r="D266">
        <v>19</v>
      </c>
      <c r="E266">
        <v>2</v>
      </c>
      <c r="F266">
        <v>1</v>
      </c>
      <c r="G266">
        <v>31.94</v>
      </c>
    </row>
    <row r="267" spans="1:7" x14ac:dyDescent="0.3">
      <c r="A267">
        <v>6</v>
      </c>
      <c r="B267" t="s">
        <v>7</v>
      </c>
      <c r="C267">
        <v>502</v>
      </c>
      <c r="D267">
        <v>19</v>
      </c>
      <c r="E267">
        <v>2</v>
      </c>
      <c r="F267">
        <v>2</v>
      </c>
      <c r="G267">
        <v>29.64</v>
      </c>
    </row>
    <row r="268" spans="1:7" x14ac:dyDescent="0.3">
      <c r="A268">
        <v>6</v>
      </c>
      <c r="B268" t="s">
        <v>7</v>
      </c>
      <c r="C268">
        <v>502</v>
      </c>
      <c r="D268">
        <v>19</v>
      </c>
      <c r="E268">
        <v>2</v>
      </c>
      <c r="F268">
        <v>3</v>
      </c>
      <c r="G268">
        <v>33.64</v>
      </c>
    </row>
    <row r="269" spans="1:7" x14ac:dyDescent="0.3">
      <c r="A269">
        <v>6</v>
      </c>
      <c r="B269" t="s">
        <v>7</v>
      </c>
      <c r="C269">
        <v>502</v>
      </c>
      <c r="D269">
        <v>19</v>
      </c>
      <c r="E269">
        <v>2</v>
      </c>
      <c r="F269">
        <v>4</v>
      </c>
      <c r="G269">
        <v>36.049999999999997</v>
      </c>
    </row>
    <row r="270" spans="1:7" x14ac:dyDescent="0.3">
      <c r="A270">
        <v>6</v>
      </c>
      <c r="B270" t="s">
        <v>7</v>
      </c>
      <c r="C270">
        <v>503</v>
      </c>
      <c r="D270">
        <v>2</v>
      </c>
      <c r="E270">
        <v>2</v>
      </c>
      <c r="F270">
        <v>1</v>
      </c>
      <c r="G270">
        <v>36.700000000000003</v>
      </c>
    </row>
    <row r="271" spans="1:7" x14ac:dyDescent="0.3">
      <c r="A271">
        <v>6</v>
      </c>
      <c r="B271" t="s">
        <v>7</v>
      </c>
      <c r="C271">
        <v>503</v>
      </c>
      <c r="D271">
        <v>2</v>
      </c>
      <c r="E271">
        <v>2</v>
      </c>
      <c r="F271">
        <v>2</v>
      </c>
      <c r="G271">
        <v>41.53</v>
      </c>
    </row>
    <row r="272" spans="1:7" x14ac:dyDescent="0.3">
      <c r="A272">
        <v>6</v>
      </c>
      <c r="B272" t="s">
        <v>7</v>
      </c>
      <c r="C272">
        <v>503</v>
      </c>
      <c r="D272">
        <v>2</v>
      </c>
      <c r="E272">
        <v>2</v>
      </c>
      <c r="F272">
        <v>3</v>
      </c>
      <c r="G272">
        <v>27.71</v>
      </c>
    </row>
    <row r="273" spans="1:7" x14ac:dyDescent="0.3">
      <c r="A273">
        <v>6</v>
      </c>
      <c r="B273" t="s">
        <v>7</v>
      </c>
      <c r="C273">
        <v>503</v>
      </c>
      <c r="D273">
        <v>2</v>
      </c>
      <c r="E273">
        <v>2</v>
      </c>
      <c r="F273">
        <v>4</v>
      </c>
      <c r="G273">
        <v>37.200000000000003</v>
      </c>
    </row>
    <row r="274" spans="1:7" x14ac:dyDescent="0.3">
      <c r="A274">
        <v>6</v>
      </c>
      <c r="B274" t="s">
        <v>7</v>
      </c>
      <c r="C274">
        <v>504</v>
      </c>
      <c r="D274">
        <v>4</v>
      </c>
      <c r="E274">
        <v>1</v>
      </c>
      <c r="F274">
        <v>1</v>
      </c>
      <c r="G274">
        <v>42.16</v>
      </c>
    </row>
    <row r="275" spans="1:7" x14ac:dyDescent="0.3">
      <c r="A275">
        <v>6</v>
      </c>
      <c r="B275" t="s">
        <v>7</v>
      </c>
      <c r="C275">
        <v>504</v>
      </c>
      <c r="D275">
        <v>4</v>
      </c>
      <c r="E275">
        <v>1</v>
      </c>
      <c r="F275">
        <v>2</v>
      </c>
      <c r="G275">
        <v>36.799999999999997</v>
      </c>
    </row>
    <row r="276" spans="1:7" x14ac:dyDescent="0.3">
      <c r="A276">
        <v>6</v>
      </c>
      <c r="B276" t="s">
        <v>7</v>
      </c>
      <c r="C276">
        <v>504</v>
      </c>
      <c r="D276">
        <v>4</v>
      </c>
      <c r="E276">
        <v>1</v>
      </c>
      <c r="F276">
        <v>3</v>
      </c>
      <c r="G276">
        <v>46.98</v>
      </c>
    </row>
    <row r="277" spans="1:7" x14ac:dyDescent="0.3">
      <c r="A277">
        <v>6</v>
      </c>
      <c r="B277" t="s">
        <v>7</v>
      </c>
      <c r="C277">
        <v>504</v>
      </c>
      <c r="D277">
        <v>4</v>
      </c>
      <c r="E277">
        <v>1</v>
      </c>
      <c r="F277">
        <v>4</v>
      </c>
      <c r="G277">
        <v>47.35</v>
      </c>
    </row>
    <row r="278" spans="1:7" x14ac:dyDescent="0.3">
      <c r="A278">
        <v>6</v>
      </c>
      <c r="B278" t="s">
        <v>7</v>
      </c>
      <c r="C278">
        <v>505</v>
      </c>
      <c r="D278">
        <v>1</v>
      </c>
      <c r="E278">
        <v>2</v>
      </c>
      <c r="F278">
        <v>1</v>
      </c>
      <c r="G278">
        <v>32.21</v>
      </c>
    </row>
    <row r="279" spans="1:7" x14ac:dyDescent="0.3">
      <c r="A279">
        <v>6</v>
      </c>
      <c r="B279" t="s">
        <v>7</v>
      </c>
      <c r="C279">
        <v>505</v>
      </c>
      <c r="D279">
        <v>1</v>
      </c>
      <c r="E279">
        <v>2</v>
      </c>
      <c r="F279">
        <v>2</v>
      </c>
      <c r="G279">
        <v>38.409999999999997</v>
      </c>
    </row>
    <row r="280" spans="1:7" x14ac:dyDescent="0.3">
      <c r="A280">
        <v>6</v>
      </c>
      <c r="B280" t="s">
        <v>7</v>
      </c>
      <c r="C280">
        <v>505</v>
      </c>
      <c r="D280">
        <v>1</v>
      </c>
      <c r="E280">
        <v>2</v>
      </c>
      <c r="F280">
        <v>3</v>
      </c>
      <c r="G280">
        <v>37.9</v>
      </c>
    </row>
    <row r="281" spans="1:7" x14ac:dyDescent="0.3">
      <c r="A281">
        <v>6</v>
      </c>
      <c r="B281" t="s">
        <v>7</v>
      </c>
      <c r="C281">
        <v>505</v>
      </c>
      <c r="D281">
        <v>1</v>
      </c>
      <c r="E281">
        <v>2</v>
      </c>
      <c r="F281">
        <v>4</v>
      </c>
      <c r="G281">
        <v>44.84</v>
      </c>
    </row>
    <row r="282" spans="1:7" x14ac:dyDescent="0.3">
      <c r="A282">
        <v>6</v>
      </c>
      <c r="B282" t="s">
        <v>7</v>
      </c>
      <c r="C282">
        <v>506</v>
      </c>
      <c r="D282">
        <v>12</v>
      </c>
      <c r="E282">
        <v>2</v>
      </c>
      <c r="F282">
        <v>1</v>
      </c>
      <c r="G282">
        <v>37.450000000000003</v>
      </c>
    </row>
    <row r="283" spans="1:7" x14ac:dyDescent="0.3">
      <c r="A283">
        <v>6</v>
      </c>
      <c r="B283" t="s">
        <v>7</v>
      </c>
      <c r="C283">
        <v>506</v>
      </c>
      <c r="D283">
        <v>12</v>
      </c>
      <c r="E283">
        <v>2</v>
      </c>
      <c r="F283">
        <v>2</v>
      </c>
      <c r="G283">
        <v>35.46</v>
      </c>
    </row>
    <row r="284" spans="1:7" x14ac:dyDescent="0.3">
      <c r="A284">
        <v>6</v>
      </c>
      <c r="B284" t="s">
        <v>7</v>
      </c>
      <c r="C284">
        <v>506</v>
      </c>
      <c r="D284">
        <v>12</v>
      </c>
      <c r="E284">
        <v>2</v>
      </c>
      <c r="F284">
        <v>3</v>
      </c>
      <c r="G284">
        <v>31.85</v>
      </c>
    </row>
    <row r="285" spans="1:7" x14ac:dyDescent="0.3">
      <c r="A285">
        <v>6</v>
      </c>
      <c r="B285" t="s">
        <v>7</v>
      </c>
      <c r="C285">
        <v>506</v>
      </c>
      <c r="D285">
        <v>12</v>
      </c>
      <c r="E285">
        <v>2</v>
      </c>
      <c r="F285">
        <v>4</v>
      </c>
      <c r="G285">
        <v>19.260000000000002</v>
      </c>
    </row>
    <row r="286" spans="1:7" x14ac:dyDescent="0.3">
      <c r="A286">
        <v>6</v>
      </c>
      <c r="B286" t="s">
        <v>7</v>
      </c>
      <c r="C286">
        <v>507</v>
      </c>
      <c r="D286">
        <v>5</v>
      </c>
      <c r="E286">
        <v>2</v>
      </c>
      <c r="F286">
        <v>1</v>
      </c>
      <c r="G286">
        <v>38.65</v>
      </c>
    </row>
    <row r="287" spans="1:7" x14ac:dyDescent="0.3">
      <c r="A287">
        <v>6</v>
      </c>
      <c r="B287" t="s">
        <v>7</v>
      </c>
      <c r="C287">
        <v>507</v>
      </c>
      <c r="D287">
        <v>5</v>
      </c>
      <c r="E287">
        <v>2</v>
      </c>
      <c r="F287">
        <v>2</v>
      </c>
      <c r="G287">
        <v>17.34</v>
      </c>
    </row>
    <row r="288" spans="1:7" x14ac:dyDescent="0.3">
      <c r="A288">
        <v>6</v>
      </c>
      <c r="B288" t="s">
        <v>7</v>
      </c>
      <c r="C288">
        <v>507</v>
      </c>
      <c r="D288">
        <v>5</v>
      </c>
      <c r="E288">
        <v>2</v>
      </c>
      <c r="F288">
        <v>3</v>
      </c>
      <c r="G288">
        <v>33.14</v>
      </c>
    </row>
    <row r="289" spans="1:7" x14ac:dyDescent="0.3">
      <c r="A289">
        <v>6</v>
      </c>
      <c r="B289" t="s">
        <v>7</v>
      </c>
      <c r="C289">
        <v>507</v>
      </c>
      <c r="D289">
        <v>5</v>
      </c>
      <c r="E289">
        <v>2</v>
      </c>
      <c r="F289">
        <v>4</v>
      </c>
      <c r="G289">
        <v>23.44</v>
      </c>
    </row>
    <row r="290" spans="1:7" x14ac:dyDescent="0.3">
      <c r="A290">
        <v>6</v>
      </c>
      <c r="B290" t="s">
        <v>7</v>
      </c>
      <c r="C290">
        <v>508</v>
      </c>
      <c r="D290">
        <v>5</v>
      </c>
      <c r="E290">
        <v>3</v>
      </c>
      <c r="F290">
        <v>1</v>
      </c>
      <c r="G290">
        <v>37.17</v>
      </c>
    </row>
    <row r="291" spans="1:7" x14ac:dyDescent="0.3">
      <c r="A291">
        <v>6</v>
      </c>
      <c r="B291" t="s">
        <v>7</v>
      </c>
      <c r="C291">
        <v>508</v>
      </c>
      <c r="D291">
        <v>5</v>
      </c>
      <c r="E291">
        <v>3</v>
      </c>
      <c r="F291">
        <v>2</v>
      </c>
      <c r="G291">
        <v>30.52</v>
      </c>
    </row>
    <row r="292" spans="1:7" x14ac:dyDescent="0.3">
      <c r="A292">
        <v>6</v>
      </c>
      <c r="B292" t="s">
        <v>7</v>
      </c>
      <c r="C292">
        <v>508</v>
      </c>
      <c r="D292">
        <v>5</v>
      </c>
      <c r="E292">
        <v>3</v>
      </c>
      <c r="F292">
        <v>3</v>
      </c>
      <c r="G292">
        <v>32.51</v>
      </c>
    </row>
    <row r="293" spans="1:7" x14ac:dyDescent="0.3">
      <c r="A293">
        <v>6</v>
      </c>
      <c r="B293" t="s">
        <v>7</v>
      </c>
      <c r="C293">
        <v>508</v>
      </c>
      <c r="D293">
        <v>5</v>
      </c>
      <c r="E293">
        <v>3</v>
      </c>
      <c r="F293">
        <v>4</v>
      </c>
      <c r="G293">
        <v>29.12</v>
      </c>
    </row>
    <row r="294" spans="1:7" x14ac:dyDescent="0.3">
      <c r="A294">
        <v>6</v>
      </c>
      <c r="B294" t="s">
        <v>7</v>
      </c>
      <c r="C294">
        <v>509</v>
      </c>
      <c r="D294">
        <v>8</v>
      </c>
      <c r="E294">
        <v>1</v>
      </c>
      <c r="F294">
        <v>1</v>
      </c>
      <c r="G294">
        <v>40.46</v>
      </c>
    </row>
    <row r="295" spans="1:7" x14ac:dyDescent="0.3">
      <c r="A295">
        <v>6</v>
      </c>
      <c r="B295" t="s">
        <v>7</v>
      </c>
      <c r="C295">
        <v>509</v>
      </c>
      <c r="D295">
        <v>8</v>
      </c>
      <c r="E295">
        <v>1</v>
      </c>
      <c r="F295">
        <v>2</v>
      </c>
      <c r="G295">
        <v>41.25</v>
      </c>
    </row>
    <row r="296" spans="1:7" x14ac:dyDescent="0.3">
      <c r="A296">
        <v>6</v>
      </c>
      <c r="B296" t="s">
        <v>7</v>
      </c>
      <c r="C296">
        <v>509</v>
      </c>
      <c r="D296">
        <v>8</v>
      </c>
      <c r="E296">
        <v>1</v>
      </c>
      <c r="F296">
        <v>3</v>
      </c>
      <c r="G296">
        <v>32.049999999999997</v>
      </c>
    </row>
    <row r="297" spans="1:7" x14ac:dyDescent="0.3">
      <c r="A297">
        <v>6</v>
      </c>
      <c r="B297" t="s">
        <v>7</v>
      </c>
      <c r="C297">
        <v>509</v>
      </c>
      <c r="D297">
        <v>8</v>
      </c>
      <c r="E297">
        <v>1</v>
      </c>
      <c r="F297">
        <v>4</v>
      </c>
      <c r="G297">
        <v>47.5</v>
      </c>
    </row>
    <row r="298" spans="1:7" x14ac:dyDescent="0.3">
      <c r="A298">
        <v>6</v>
      </c>
      <c r="B298" t="s">
        <v>7</v>
      </c>
      <c r="C298">
        <v>510</v>
      </c>
      <c r="D298">
        <v>7</v>
      </c>
      <c r="E298">
        <v>2</v>
      </c>
      <c r="F298">
        <v>1</v>
      </c>
      <c r="G298">
        <v>32.770000000000003</v>
      </c>
    </row>
    <row r="299" spans="1:7" x14ac:dyDescent="0.3">
      <c r="A299">
        <v>6</v>
      </c>
      <c r="B299" t="s">
        <v>7</v>
      </c>
      <c r="C299">
        <v>510</v>
      </c>
      <c r="D299">
        <v>7</v>
      </c>
      <c r="E299">
        <v>2</v>
      </c>
      <c r="F299">
        <v>2</v>
      </c>
      <c r="G299">
        <v>30.26</v>
      </c>
    </row>
    <row r="300" spans="1:7" x14ac:dyDescent="0.3">
      <c r="A300">
        <v>6</v>
      </c>
      <c r="B300" t="s">
        <v>7</v>
      </c>
      <c r="C300">
        <v>510</v>
      </c>
      <c r="D300">
        <v>7</v>
      </c>
      <c r="E300">
        <v>2</v>
      </c>
      <c r="F300">
        <v>3</v>
      </c>
      <c r="G300">
        <v>27.55</v>
      </c>
    </row>
    <row r="301" spans="1:7" x14ac:dyDescent="0.3">
      <c r="A301">
        <v>6</v>
      </c>
      <c r="B301" t="s">
        <v>7</v>
      </c>
      <c r="C301">
        <v>510</v>
      </c>
      <c r="D301">
        <v>7</v>
      </c>
      <c r="E301">
        <v>2</v>
      </c>
      <c r="F301">
        <v>4</v>
      </c>
      <c r="G301">
        <v>27.37</v>
      </c>
    </row>
    <row r="302" spans="1:7" x14ac:dyDescent="0.3">
      <c r="A302">
        <v>6</v>
      </c>
      <c r="B302" t="s">
        <v>7</v>
      </c>
      <c r="C302">
        <v>511</v>
      </c>
      <c r="D302">
        <v>24</v>
      </c>
      <c r="E302">
        <v>3</v>
      </c>
      <c r="F302">
        <v>1</v>
      </c>
      <c r="G302">
        <v>47.48</v>
      </c>
    </row>
    <row r="303" spans="1:7" x14ac:dyDescent="0.3">
      <c r="A303">
        <v>6</v>
      </c>
      <c r="B303" t="s">
        <v>7</v>
      </c>
      <c r="C303">
        <v>511</v>
      </c>
      <c r="D303">
        <v>24</v>
      </c>
      <c r="E303">
        <v>3</v>
      </c>
      <c r="F303">
        <v>2</v>
      </c>
      <c r="G303">
        <v>39.409999999999997</v>
      </c>
    </row>
    <row r="304" spans="1:7" x14ac:dyDescent="0.3">
      <c r="A304">
        <v>6</v>
      </c>
      <c r="B304" t="s">
        <v>7</v>
      </c>
      <c r="C304">
        <v>511</v>
      </c>
      <c r="D304">
        <v>24</v>
      </c>
      <c r="E304">
        <v>3</v>
      </c>
      <c r="F304">
        <v>3</v>
      </c>
      <c r="G304">
        <v>43.29</v>
      </c>
    </row>
    <row r="305" spans="1:7" x14ac:dyDescent="0.3">
      <c r="A305">
        <v>6</v>
      </c>
      <c r="B305" t="s">
        <v>7</v>
      </c>
      <c r="C305">
        <v>511</v>
      </c>
      <c r="D305">
        <v>24</v>
      </c>
      <c r="E305">
        <v>3</v>
      </c>
      <c r="F305">
        <v>4</v>
      </c>
      <c r="G305">
        <v>42.59</v>
      </c>
    </row>
    <row r="306" spans="1:7" x14ac:dyDescent="0.3">
      <c r="A306">
        <v>6</v>
      </c>
      <c r="B306" t="s">
        <v>7</v>
      </c>
      <c r="C306">
        <v>512</v>
      </c>
      <c r="D306">
        <v>4</v>
      </c>
      <c r="E306">
        <v>1</v>
      </c>
      <c r="F306">
        <v>1</v>
      </c>
      <c r="G306">
        <v>35.299999999999997</v>
      </c>
    </row>
    <row r="307" spans="1:7" x14ac:dyDescent="0.3">
      <c r="A307">
        <v>6</v>
      </c>
      <c r="B307" t="s">
        <v>7</v>
      </c>
      <c r="C307">
        <v>512</v>
      </c>
      <c r="D307">
        <v>4</v>
      </c>
      <c r="E307">
        <v>1</v>
      </c>
      <c r="F307">
        <v>2</v>
      </c>
      <c r="G307">
        <v>35.86</v>
      </c>
    </row>
    <row r="308" spans="1:7" x14ac:dyDescent="0.3">
      <c r="A308">
        <v>6</v>
      </c>
      <c r="B308" t="s">
        <v>7</v>
      </c>
      <c r="C308">
        <v>512</v>
      </c>
      <c r="D308">
        <v>4</v>
      </c>
      <c r="E308">
        <v>1</v>
      </c>
      <c r="F308">
        <v>3</v>
      </c>
      <c r="G308">
        <v>49.3</v>
      </c>
    </row>
    <row r="309" spans="1:7" x14ac:dyDescent="0.3">
      <c r="A309">
        <v>6</v>
      </c>
      <c r="B309" t="s">
        <v>7</v>
      </c>
      <c r="C309">
        <v>512</v>
      </c>
      <c r="D309">
        <v>4</v>
      </c>
      <c r="E309">
        <v>1</v>
      </c>
      <c r="F309">
        <v>4</v>
      </c>
      <c r="G309">
        <v>30.81</v>
      </c>
    </row>
    <row r="310" spans="1:7" x14ac:dyDescent="0.3">
      <c r="A310">
        <v>6</v>
      </c>
      <c r="B310" t="s">
        <v>7</v>
      </c>
      <c r="C310">
        <v>513</v>
      </c>
      <c r="D310">
        <v>7</v>
      </c>
      <c r="E310">
        <v>1</v>
      </c>
      <c r="F310">
        <v>1</v>
      </c>
      <c r="G310">
        <v>44.98</v>
      </c>
    </row>
    <row r="311" spans="1:7" x14ac:dyDescent="0.3">
      <c r="A311">
        <v>6</v>
      </c>
      <c r="B311" t="s">
        <v>7</v>
      </c>
      <c r="C311">
        <v>513</v>
      </c>
      <c r="D311">
        <v>7</v>
      </c>
      <c r="E311">
        <v>1</v>
      </c>
      <c r="F311">
        <v>2</v>
      </c>
      <c r="G311">
        <v>41.71</v>
      </c>
    </row>
    <row r="312" spans="1:7" x14ac:dyDescent="0.3">
      <c r="A312">
        <v>6</v>
      </c>
      <c r="B312" t="s">
        <v>7</v>
      </c>
      <c r="C312">
        <v>513</v>
      </c>
      <c r="D312">
        <v>7</v>
      </c>
      <c r="E312">
        <v>1</v>
      </c>
      <c r="F312">
        <v>3</v>
      </c>
      <c r="G312">
        <v>41.1</v>
      </c>
    </row>
    <row r="313" spans="1:7" x14ac:dyDescent="0.3">
      <c r="A313">
        <v>6</v>
      </c>
      <c r="B313" t="s">
        <v>7</v>
      </c>
      <c r="C313">
        <v>513</v>
      </c>
      <c r="D313">
        <v>7</v>
      </c>
      <c r="E313">
        <v>1</v>
      </c>
      <c r="F313">
        <v>4</v>
      </c>
      <c r="G313">
        <v>40.97</v>
      </c>
    </row>
    <row r="314" spans="1:7" x14ac:dyDescent="0.3">
      <c r="A314">
        <v>6</v>
      </c>
      <c r="B314" t="s">
        <v>7</v>
      </c>
      <c r="C314">
        <v>514</v>
      </c>
      <c r="D314">
        <v>6</v>
      </c>
      <c r="E314">
        <v>1</v>
      </c>
      <c r="F314">
        <v>1</v>
      </c>
      <c r="G314">
        <v>41.1</v>
      </c>
    </row>
    <row r="315" spans="1:7" x14ac:dyDescent="0.3">
      <c r="A315">
        <v>6</v>
      </c>
      <c r="B315" t="s">
        <v>7</v>
      </c>
      <c r="C315">
        <v>514</v>
      </c>
      <c r="D315">
        <v>6</v>
      </c>
      <c r="E315">
        <v>1</v>
      </c>
      <c r="F315">
        <v>2</v>
      </c>
      <c r="G315">
        <v>41.56</v>
      </c>
    </row>
    <row r="316" spans="1:7" x14ac:dyDescent="0.3">
      <c r="A316">
        <v>6</v>
      </c>
      <c r="B316" t="s">
        <v>7</v>
      </c>
      <c r="C316">
        <v>514</v>
      </c>
      <c r="D316">
        <v>6</v>
      </c>
      <c r="E316">
        <v>1</v>
      </c>
      <c r="F316">
        <v>3</v>
      </c>
      <c r="G316">
        <v>36.39</v>
      </c>
    </row>
    <row r="317" spans="1:7" x14ac:dyDescent="0.3">
      <c r="A317">
        <v>6</v>
      </c>
      <c r="B317" t="s">
        <v>7</v>
      </c>
      <c r="C317">
        <v>514</v>
      </c>
      <c r="D317">
        <v>6</v>
      </c>
      <c r="E317">
        <v>1</v>
      </c>
      <c r="F317">
        <v>4</v>
      </c>
      <c r="G317">
        <v>39.67</v>
      </c>
    </row>
    <row r="318" spans="1:7" x14ac:dyDescent="0.3">
      <c r="A318">
        <v>6</v>
      </c>
      <c r="B318" t="s">
        <v>7</v>
      </c>
      <c r="C318">
        <v>515</v>
      </c>
      <c r="D318">
        <v>8</v>
      </c>
      <c r="E318">
        <v>3</v>
      </c>
      <c r="F318">
        <v>1</v>
      </c>
      <c r="G318">
        <v>34.46</v>
      </c>
    </row>
    <row r="319" spans="1:7" x14ac:dyDescent="0.3">
      <c r="A319">
        <v>6</v>
      </c>
      <c r="B319" t="s">
        <v>7</v>
      </c>
      <c r="C319">
        <v>515</v>
      </c>
      <c r="D319">
        <v>8</v>
      </c>
      <c r="E319">
        <v>3</v>
      </c>
      <c r="F319">
        <v>2</v>
      </c>
      <c r="G319">
        <v>40.130000000000003</v>
      </c>
    </row>
    <row r="320" spans="1:7" x14ac:dyDescent="0.3">
      <c r="A320">
        <v>6</v>
      </c>
      <c r="B320" t="s">
        <v>7</v>
      </c>
      <c r="C320">
        <v>515</v>
      </c>
      <c r="D320">
        <v>8</v>
      </c>
      <c r="E320">
        <v>3</v>
      </c>
      <c r="F320">
        <v>3</v>
      </c>
      <c r="G320">
        <v>32.18</v>
      </c>
    </row>
    <row r="321" spans="1:7" x14ac:dyDescent="0.3">
      <c r="A321">
        <v>6</v>
      </c>
      <c r="B321" t="s">
        <v>7</v>
      </c>
      <c r="C321">
        <v>515</v>
      </c>
      <c r="D321">
        <v>8</v>
      </c>
      <c r="E321">
        <v>3</v>
      </c>
      <c r="F321">
        <v>4</v>
      </c>
      <c r="G321">
        <v>43.73</v>
      </c>
    </row>
    <row r="322" spans="1:7" x14ac:dyDescent="0.3">
      <c r="A322">
        <v>7</v>
      </c>
      <c r="B322" t="s">
        <v>7</v>
      </c>
      <c r="C322">
        <v>601</v>
      </c>
      <c r="D322">
        <v>7</v>
      </c>
      <c r="E322">
        <v>3</v>
      </c>
      <c r="F322">
        <v>1</v>
      </c>
      <c r="G322">
        <v>49.01</v>
      </c>
    </row>
    <row r="323" spans="1:7" x14ac:dyDescent="0.3">
      <c r="A323">
        <v>7</v>
      </c>
      <c r="B323" t="s">
        <v>7</v>
      </c>
      <c r="C323">
        <v>601</v>
      </c>
      <c r="D323">
        <v>7</v>
      </c>
      <c r="E323">
        <v>3</v>
      </c>
      <c r="F323">
        <v>2</v>
      </c>
      <c r="G323">
        <v>46.29</v>
      </c>
    </row>
    <row r="324" spans="1:7" x14ac:dyDescent="0.3">
      <c r="A324">
        <v>7</v>
      </c>
      <c r="B324" t="s">
        <v>7</v>
      </c>
      <c r="C324">
        <v>601</v>
      </c>
      <c r="D324">
        <v>7</v>
      </c>
      <c r="E324">
        <v>3</v>
      </c>
      <c r="F324">
        <v>3</v>
      </c>
      <c r="G324">
        <v>37.14</v>
      </c>
    </row>
    <row r="325" spans="1:7" x14ac:dyDescent="0.3">
      <c r="A325">
        <v>7</v>
      </c>
      <c r="B325" t="s">
        <v>7</v>
      </c>
      <c r="C325">
        <v>601</v>
      </c>
      <c r="D325">
        <v>7</v>
      </c>
      <c r="E325">
        <v>3</v>
      </c>
      <c r="F325">
        <v>4</v>
      </c>
      <c r="G325">
        <v>42.82</v>
      </c>
    </row>
    <row r="326" spans="1:7" x14ac:dyDescent="0.3">
      <c r="A326">
        <v>7</v>
      </c>
      <c r="B326" t="s">
        <v>7</v>
      </c>
      <c r="C326">
        <v>602</v>
      </c>
      <c r="D326">
        <v>4</v>
      </c>
      <c r="E326">
        <v>3</v>
      </c>
      <c r="F326">
        <v>1</v>
      </c>
      <c r="G326">
        <v>47.22</v>
      </c>
    </row>
    <row r="327" spans="1:7" x14ac:dyDescent="0.3">
      <c r="A327">
        <v>7</v>
      </c>
      <c r="B327" t="s">
        <v>7</v>
      </c>
      <c r="C327">
        <v>602</v>
      </c>
      <c r="D327">
        <v>4</v>
      </c>
      <c r="E327">
        <v>3</v>
      </c>
      <c r="F327">
        <v>2</v>
      </c>
      <c r="G327">
        <v>35.24</v>
      </c>
    </row>
    <row r="328" spans="1:7" x14ac:dyDescent="0.3">
      <c r="A328">
        <v>7</v>
      </c>
      <c r="B328" t="s">
        <v>7</v>
      </c>
      <c r="C328">
        <v>602</v>
      </c>
      <c r="D328">
        <v>4</v>
      </c>
      <c r="E328">
        <v>3</v>
      </c>
      <c r="F328">
        <v>3</v>
      </c>
      <c r="G328">
        <v>47.22</v>
      </c>
    </row>
    <row r="329" spans="1:7" x14ac:dyDescent="0.3">
      <c r="A329">
        <v>7</v>
      </c>
      <c r="B329" t="s">
        <v>7</v>
      </c>
      <c r="C329">
        <v>602</v>
      </c>
      <c r="D329">
        <v>4</v>
      </c>
      <c r="E329">
        <v>3</v>
      </c>
      <c r="F329">
        <v>4</v>
      </c>
      <c r="G329">
        <v>43.15</v>
      </c>
    </row>
    <row r="330" spans="1:7" x14ac:dyDescent="0.3">
      <c r="A330">
        <v>7</v>
      </c>
      <c r="B330" t="s">
        <v>7</v>
      </c>
      <c r="C330">
        <v>603</v>
      </c>
      <c r="D330">
        <v>4</v>
      </c>
      <c r="E330">
        <v>2</v>
      </c>
      <c r="F330">
        <v>1</v>
      </c>
      <c r="G330">
        <v>40.71</v>
      </c>
    </row>
    <row r="331" spans="1:7" x14ac:dyDescent="0.3">
      <c r="A331">
        <v>7</v>
      </c>
      <c r="B331" t="s">
        <v>7</v>
      </c>
      <c r="C331">
        <v>603</v>
      </c>
      <c r="D331">
        <v>4</v>
      </c>
      <c r="E331">
        <v>2</v>
      </c>
      <c r="F331">
        <v>2</v>
      </c>
      <c r="G331">
        <v>38.26</v>
      </c>
    </row>
    <row r="332" spans="1:7" x14ac:dyDescent="0.3">
      <c r="A332">
        <v>7</v>
      </c>
      <c r="B332" t="s">
        <v>7</v>
      </c>
      <c r="C332">
        <v>603</v>
      </c>
      <c r="D332">
        <v>4</v>
      </c>
      <c r="E332">
        <v>2</v>
      </c>
      <c r="F332">
        <v>3</v>
      </c>
      <c r="G332">
        <v>41.44</v>
      </c>
    </row>
    <row r="333" spans="1:7" x14ac:dyDescent="0.3">
      <c r="A333">
        <v>7</v>
      </c>
      <c r="B333" t="s">
        <v>7</v>
      </c>
      <c r="C333">
        <v>603</v>
      </c>
      <c r="D333">
        <v>4</v>
      </c>
      <c r="E333">
        <v>2</v>
      </c>
      <c r="F333">
        <v>4</v>
      </c>
      <c r="G333">
        <v>25.7</v>
      </c>
    </row>
    <row r="334" spans="1:7" x14ac:dyDescent="0.3">
      <c r="A334">
        <v>7</v>
      </c>
      <c r="B334" t="s">
        <v>7</v>
      </c>
      <c r="C334">
        <v>604</v>
      </c>
      <c r="D334">
        <v>11</v>
      </c>
      <c r="E334">
        <v>3</v>
      </c>
      <c r="F334">
        <v>1</v>
      </c>
      <c r="G334">
        <v>40.29</v>
      </c>
    </row>
    <row r="335" spans="1:7" x14ac:dyDescent="0.3">
      <c r="A335">
        <v>7</v>
      </c>
      <c r="B335" t="s">
        <v>7</v>
      </c>
      <c r="C335">
        <v>604</v>
      </c>
      <c r="D335">
        <v>11</v>
      </c>
      <c r="E335">
        <v>3</v>
      </c>
      <c r="F335">
        <v>2</v>
      </c>
      <c r="G335">
        <v>48.35</v>
      </c>
    </row>
    <row r="336" spans="1:7" x14ac:dyDescent="0.3">
      <c r="A336">
        <v>7</v>
      </c>
      <c r="B336" t="s">
        <v>7</v>
      </c>
      <c r="C336">
        <v>604</v>
      </c>
      <c r="D336">
        <v>11</v>
      </c>
      <c r="E336">
        <v>3</v>
      </c>
      <c r="F336">
        <v>3</v>
      </c>
      <c r="G336">
        <v>43.26</v>
      </c>
    </row>
    <row r="337" spans="1:7" x14ac:dyDescent="0.3">
      <c r="A337">
        <v>7</v>
      </c>
      <c r="B337" t="s">
        <v>7</v>
      </c>
      <c r="C337">
        <v>604</v>
      </c>
      <c r="D337">
        <v>11</v>
      </c>
      <c r="E337">
        <v>3</v>
      </c>
      <c r="F337">
        <v>4</v>
      </c>
      <c r="G337">
        <v>44.2</v>
      </c>
    </row>
    <row r="338" spans="1:7" x14ac:dyDescent="0.3">
      <c r="A338">
        <v>7</v>
      </c>
      <c r="B338" t="s">
        <v>7</v>
      </c>
      <c r="C338">
        <v>605</v>
      </c>
      <c r="D338">
        <v>8</v>
      </c>
      <c r="E338">
        <v>3</v>
      </c>
      <c r="F338">
        <v>1</v>
      </c>
      <c r="G338">
        <v>46.14</v>
      </c>
    </row>
    <row r="339" spans="1:7" x14ac:dyDescent="0.3">
      <c r="A339">
        <v>7</v>
      </c>
      <c r="B339" t="s">
        <v>7</v>
      </c>
      <c r="C339">
        <v>605</v>
      </c>
      <c r="D339">
        <v>8</v>
      </c>
      <c r="E339">
        <v>3</v>
      </c>
      <c r="F339">
        <v>2</v>
      </c>
      <c r="G339">
        <v>41.12</v>
      </c>
    </row>
    <row r="340" spans="1:7" x14ac:dyDescent="0.3">
      <c r="A340">
        <v>7</v>
      </c>
      <c r="B340" t="s">
        <v>7</v>
      </c>
      <c r="C340">
        <v>605</v>
      </c>
      <c r="D340">
        <v>8</v>
      </c>
      <c r="E340">
        <v>3</v>
      </c>
      <c r="F340">
        <v>3</v>
      </c>
      <c r="G340">
        <v>45.03</v>
      </c>
    </row>
    <row r="341" spans="1:7" x14ac:dyDescent="0.3">
      <c r="A341">
        <v>7</v>
      </c>
      <c r="B341" t="s">
        <v>7</v>
      </c>
      <c r="C341">
        <v>605</v>
      </c>
      <c r="D341">
        <v>8</v>
      </c>
      <c r="E341">
        <v>3</v>
      </c>
      <c r="F341">
        <v>4</v>
      </c>
      <c r="G341">
        <v>38.85</v>
      </c>
    </row>
    <row r="342" spans="1:7" x14ac:dyDescent="0.3">
      <c r="A342">
        <v>7</v>
      </c>
      <c r="B342" t="s">
        <v>7</v>
      </c>
      <c r="C342">
        <v>606</v>
      </c>
      <c r="D342">
        <v>8</v>
      </c>
      <c r="E342">
        <v>3</v>
      </c>
      <c r="F342">
        <v>1</v>
      </c>
      <c r="G342">
        <v>41.96</v>
      </c>
    </row>
    <row r="343" spans="1:7" x14ac:dyDescent="0.3">
      <c r="A343">
        <v>7</v>
      </c>
      <c r="B343" t="s">
        <v>7</v>
      </c>
      <c r="C343">
        <v>606</v>
      </c>
      <c r="D343">
        <v>8</v>
      </c>
      <c r="E343">
        <v>3</v>
      </c>
      <c r="F343">
        <v>2</v>
      </c>
      <c r="G343">
        <v>42.27</v>
      </c>
    </row>
    <row r="344" spans="1:7" x14ac:dyDescent="0.3">
      <c r="A344">
        <v>7</v>
      </c>
      <c r="B344" t="s">
        <v>7</v>
      </c>
      <c r="C344">
        <v>606</v>
      </c>
      <c r="D344">
        <v>8</v>
      </c>
      <c r="E344">
        <v>3</v>
      </c>
      <c r="F344">
        <v>3</v>
      </c>
      <c r="G344">
        <v>38.51</v>
      </c>
    </row>
    <row r="345" spans="1:7" x14ac:dyDescent="0.3">
      <c r="A345">
        <v>7</v>
      </c>
      <c r="B345" t="s">
        <v>7</v>
      </c>
      <c r="C345">
        <v>606</v>
      </c>
      <c r="D345">
        <v>8</v>
      </c>
      <c r="E345">
        <v>3</v>
      </c>
      <c r="F345">
        <v>4</v>
      </c>
      <c r="G345">
        <v>43.51</v>
      </c>
    </row>
    <row r="346" spans="1:7" x14ac:dyDescent="0.3">
      <c r="A346">
        <v>7</v>
      </c>
      <c r="B346" t="s">
        <v>7</v>
      </c>
      <c r="C346">
        <v>607</v>
      </c>
      <c r="D346">
        <v>3</v>
      </c>
      <c r="E346">
        <v>2</v>
      </c>
      <c r="F346">
        <v>1</v>
      </c>
      <c r="G346">
        <v>49.39</v>
      </c>
    </row>
    <row r="347" spans="1:7" x14ac:dyDescent="0.3">
      <c r="A347">
        <v>7</v>
      </c>
      <c r="B347" t="s">
        <v>7</v>
      </c>
      <c r="C347">
        <v>607</v>
      </c>
      <c r="D347">
        <v>3</v>
      </c>
      <c r="E347">
        <v>2</v>
      </c>
      <c r="F347">
        <v>2</v>
      </c>
      <c r="G347">
        <v>40.25</v>
      </c>
    </row>
    <row r="348" spans="1:7" x14ac:dyDescent="0.3">
      <c r="A348">
        <v>7</v>
      </c>
      <c r="B348" t="s">
        <v>7</v>
      </c>
      <c r="C348">
        <v>607</v>
      </c>
      <c r="D348">
        <v>3</v>
      </c>
      <c r="E348">
        <v>2</v>
      </c>
      <c r="F348">
        <v>3</v>
      </c>
      <c r="G348">
        <v>42.46</v>
      </c>
    </row>
    <row r="349" spans="1:7" x14ac:dyDescent="0.3">
      <c r="A349">
        <v>7</v>
      </c>
      <c r="B349" t="s">
        <v>7</v>
      </c>
      <c r="C349">
        <v>607</v>
      </c>
      <c r="D349">
        <v>3</v>
      </c>
      <c r="E349">
        <v>2</v>
      </c>
      <c r="F349">
        <v>4</v>
      </c>
      <c r="G349">
        <v>31.62</v>
      </c>
    </row>
    <row r="350" spans="1:7" x14ac:dyDescent="0.3">
      <c r="A350">
        <v>7</v>
      </c>
      <c r="B350" t="s">
        <v>7</v>
      </c>
      <c r="C350">
        <v>608</v>
      </c>
      <c r="D350">
        <v>18</v>
      </c>
      <c r="E350">
        <v>1</v>
      </c>
      <c r="F350">
        <v>1</v>
      </c>
      <c r="G350">
        <v>53.38</v>
      </c>
    </row>
    <row r="351" spans="1:7" x14ac:dyDescent="0.3">
      <c r="A351">
        <v>7</v>
      </c>
      <c r="B351" t="s">
        <v>7</v>
      </c>
      <c r="C351">
        <v>608</v>
      </c>
      <c r="D351">
        <v>18</v>
      </c>
      <c r="E351">
        <v>1</v>
      </c>
      <c r="F351">
        <v>2</v>
      </c>
      <c r="G351">
        <v>55.31</v>
      </c>
    </row>
    <row r="352" spans="1:7" x14ac:dyDescent="0.3">
      <c r="A352">
        <v>7</v>
      </c>
      <c r="B352" t="s">
        <v>7</v>
      </c>
      <c r="C352">
        <v>608</v>
      </c>
      <c r="D352">
        <v>18</v>
      </c>
      <c r="E352">
        <v>1</v>
      </c>
      <c r="F352">
        <v>3</v>
      </c>
      <c r="G352">
        <v>56.1</v>
      </c>
    </row>
    <row r="353" spans="1:7" x14ac:dyDescent="0.3">
      <c r="A353">
        <v>7</v>
      </c>
      <c r="B353" t="s">
        <v>7</v>
      </c>
      <c r="C353">
        <v>608</v>
      </c>
      <c r="D353">
        <v>18</v>
      </c>
      <c r="E353">
        <v>1</v>
      </c>
      <c r="F353">
        <v>4</v>
      </c>
      <c r="G353">
        <v>43.24</v>
      </c>
    </row>
    <row r="354" spans="1:7" x14ac:dyDescent="0.3">
      <c r="A354">
        <v>7</v>
      </c>
      <c r="B354" t="s">
        <v>7</v>
      </c>
      <c r="C354">
        <v>609</v>
      </c>
      <c r="D354">
        <v>9</v>
      </c>
      <c r="E354">
        <v>1</v>
      </c>
      <c r="F354">
        <v>1</v>
      </c>
      <c r="G354">
        <v>48.18</v>
      </c>
    </row>
    <row r="355" spans="1:7" x14ac:dyDescent="0.3">
      <c r="A355">
        <v>7</v>
      </c>
      <c r="B355" t="s">
        <v>7</v>
      </c>
      <c r="C355">
        <v>609</v>
      </c>
      <c r="D355">
        <v>9</v>
      </c>
      <c r="E355">
        <v>1</v>
      </c>
      <c r="F355">
        <v>2</v>
      </c>
      <c r="G355">
        <v>43.11</v>
      </c>
    </row>
    <row r="356" spans="1:7" x14ac:dyDescent="0.3">
      <c r="A356">
        <v>7</v>
      </c>
      <c r="B356" t="s">
        <v>7</v>
      </c>
      <c r="C356">
        <v>609</v>
      </c>
      <c r="D356">
        <v>9</v>
      </c>
      <c r="E356">
        <v>1</v>
      </c>
      <c r="F356">
        <v>3</v>
      </c>
      <c r="G356">
        <v>43.78</v>
      </c>
    </row>
    <row r="357" spans="1:7" x14ac:dyDescent="0.3">
      <c r="A357">
        <v>7</v>
      </c>
      <c r="B357" t="s">
        <v>7</v>
      </c>
      <c r="C357">
        <v>609</v>
      </c>
      <c r="D357">
        <v>9</v>
      </c>
      <c r="E357">
        <v>1</v>
      </c>
      <c r="F357">
        <v>4</v>
      </c>
      <c r="G357">
        <v>56.9</v>
      </c>
    </row>
    <row r="358" spans="1:7" x14ac:dyDescent="0.3">
      <c r="A358">
        <v>7</v>
      </c>
      <c r="B358" t="s">
        <v>7</v>
      </c>
      <c r="C358">
        <v>610</v>
      </c>
      <c r="D358">
        <v>4</v>
      </c>
      <c r="E358">
        <v>1</v>
      </c>
      <c r="F358">
        <v>1</v>
      </c>
      <c r="G358">
        <v>53.53</v>
      </c>
    </row>
    <row r="359" spans="1:7" x14ac:dyDescent="0.3">
      <c r="A359">
        <v>7</v>
      </c>
      <c r="B359" t="s">
        <v>7</v>
      </c>
      <c r="C359">
        <v>610</v>
      </c>
      <c r="D359">
        <v>4</v>
      </c>
      <c r="E359">
        <v>1</v>
      </c>
      <c r="F359">
        <v>2</v>
      </c>
      <c r="G359">
        <v>47.92</v>
      </c>
    </row>
    <row r="360" spans="1:7" x14ac:dyDescent="0.3">
      <c r="A360">
        <v>7</v>
      </c>
      <c r="B360" t="s">
        <v>7</v>
      </c>
      <c r="C360">
        <v>610</v>
      </c>
      <c r="D360">
        <v>4</v>
      </c>
      <c r="E360">
        <v>1</v>
      </c>
      <c r="F360">
        <v>3</v>
      </c>
      <c r="G360">
        <v>56.18</v>
      </c>
    </row>
    <row r="361" spans="1:7" x14ac:dyDescent="0.3">
      <c r="A361">
        <v>7</v>
      </c>
      <c r="B361" t="s">
        <v>7</v>
      </c>
      <c r="C361">
        <v>610</v>
      </c>
      <c r="D361">
        <v>4</v>
      </c>
      <c r="E361">
        <v>1</v>
      </c>
      <c r="F361">
        <v>4</v>
      </c>
      <c r="G361">
        <v>46.66</v>
      </c>
    </row>
    <row r="362" spans="1:7" x14ac:dyDescent="0.3">
      <c r="A362">
        <v>7</v>
      </c>
      <c r="B362" t="s">
        <v>7</v>
      </c>
      <c r="C362">
        <v>611</v>
      </c>
      <c r="D362">
        <v>11</v>
      </c>
      <c r="E362">
        <v>3</v>
      </c>
      <c r="F362">
        <v>1</v>
      </c>
      <c r="G362">
        <v>40.43</v>
      </c>
    </row>
    <row r="363" spans="1:7" x14ac:dyDescent="0.3">
      <c r="A363">
        <v>7</v>
      </c>
      <c r="B363" t="s">
        <v>7</v>
      </c>
      <c r="C363">
        <v>611</v>
      </c>
      <c r="D363">
        <v>11</v>
      </c>
      <c r="E363">
        <v>3</v>
      </c>
      <c r="F363">
        <v>2</v>
      </c>
      <c r="G363">
        <v>51.15</v>
      </c>
    </row>
    <row r="364" spans="1:7" x14ac:dyDescent="0.3">
      <c r="A364">
        <v>7</v>
      </c>
      <c r="B364" t="s">
        <v>7</v>
      </c>
      <c r="C364">
        <v>611</v>
      </c>
      <c r="D364">
        <v>11</v>
      </c>
      <c r="E364">
        <v>3</v>
      </c>
      <c r="F364">
        <v>3</v>
      </c>
      <c r="G364">
        <v>42.5</v>
      </c>
    </row>
    <row r="365" spans="1:7" x14ac:dyDescent="0.3">
      <c r="A365">
        <v>7</v>
      </c>
      <c r="B365" t="s">
        <v>7</v>
      </c>
      <c r="C365">
        <v>611</v>
      </c>
      <c r="D365">
        <v>11</v>
      </c>
      <c r="E365">
        <v>3</v>
      </c>
      <c r="F365">
        <v>4</v>
      </c>
      <c r="G365">
        <v>52.76</v>
      </c>
    </row>
    <row r="366" spans="1:7" x14ac:dyDescent="0.3">
      <c r="A366">
        <v>7</v>
      </c>
      <c r="B366" t="s">
        <v>7</v>
      </c>
      <c r="C366">
        <v>612</v>
      </c>
      <c r="D366">
        <v>1</v>
      </c>
      <c r="E366">
        <v>3</v>
      </c>
      <c r="F366">
        <v>1</v>
      </c>
      <c r="G366">
        <v>47.63</v>
      </c>
    </row>
    <row r="367" spans="1:7" x14ac:dyDescent="0.3">
      <c r="A367">
        <v>7</v>
      </c>
      <c r="B367" t="s">
        <v>7</v>
      </c>
      <c r="C367">
        <v>612</v>
      </c>
      <c r="D367">
        <v>1</v>
      </c>
      <c r="E367">
        <v>3</v>
      </c>
      <c r="F367">
        <v>2</v>
      </c>
      <c r="G367">
        <v>52.21</v>
      </c>
    </row>
    <row r="368" spans="1:7" x14ac:dyDescent="0.3">
      <c r="A368">
        <v>7</v>
      </c>
      <c r="B368" t="s">
        <v>7</v>
      </c>
      <c r="C368">
        <v>612</v>
      </c>
      <c r="D368">
        <v>1</v>
      </c>
      <c r="E368">
        <v>3</v>
      </c>
      <c r="F368">
        <v>3</v>
      </c>
      <c r="G368">
        <v>40.17</v>
      </c>
    </row>
    <row r="369" spans="1:7" x14ac:dyDescent="0.3">
      <c r="A369">
        <v>7</v>
      </c>
      <c r="B369" t="s">
        <v>7</v>
      </c>
      <c r="C369">
        <v>612</v>
      </c>
      <c r="D369">
        <v>1</v>
      </c>
      <c r="E369">
        <v>3</v>
      </c>
      <c r="F369">
        <v>4</v>
      </c>
      <c r="G369">
        <v>48.36</v>
      </c>
    </row>
    <row r="370" spans="1:7" x14ac:dyDescent="0.3">
      <c r="A370">
        <v>7</v>
      </c>
      <c r="B370" t="s">
        <v>7</v>
      </c>
      <c r="C370">
        <v>613</v>
      </c>
      <c r="D370">
        <v>18</v>
      </c>
      <c r="E370">
        <v>1</v>
      </c>
      <c r="F370">
        <v>1</v>
      </c>
      <c r="G370">
        <v>42.76</v>
      </c>
    </row>
    <row r="371" spans="1:7" x14ac:dyDescent="0.3">
      <c r="A371">
        <v>7</v>
      </c>
      <c r="B371" t="s">
        <v>7</v>
      </c>
      <c r="C371">
        <v>613</v>
      </c>
      <c r="D371">
        <v>18</v>
      </c>
      <c r="E371">
        <v>1</v>
      </c>
      <c r="F371">
        <v>2</v>
      </c>
      <c r="G371">
        <v>50.52</v>
      </c>
    </row>
    <row r="372" spans="1:7" x14ac:dyDescent="0.3">
      <c r="A372">
        <v>7</v>
      </c>
      <c r="B372" t="s">
        <v>7</v>
      </c>
      <c r="C372">
        <v>613</v>
      </c>
      <c r="D372">
        <v>18</v>
      </c>
      <c r="E372">
        <v>1</v>
      </c>
      <c r="F372">
        <v>3</v>
      </c>
      <c r="G372">
        <v>56.86</v>
      </c>
    </row>
    <row r="373" spans="1:7" x14ac:dyDescent="0.3">
      <c r="A373">
        <v>7</v>
      </c>
      <c r="B373" t="s">
        <v>7</v>
      </c>
      <c r="C373">
        <v>613</v>
      </c>
      <c r="D373">
        <v>18</v>
      </c>
      <c r="E373">
        <v>1</v>
      </c>
      <c r="F373">
        <v>4</v>
      </c>
      <c r="G373">
        <v>47.51</v>
      </c>
    </row>
    <row r="374" spans="1:7" x14ac:dyDescent="0.3">
      <c r="A374">
        <v>7</v>
      </c>
      <c r="B374" t="s">
        <v>7</v>
      </c>
      <c r="C374">
        <v>614</v>
      </c>
      <c r="D374">
        <v>8</v>
      </c>
      <c r="E374">
        <v>2</v>
      </c>
      <c r="F374">
        <v>1</v>
      </c>
      <c r="G374">
        <v>38.56</v>
      </c>
    </row>
    <row r="375" spans="1:7" x14ac:dyDescent="0.3">
      <c r="A375">
        <v>7</v>
      </c>
      <c r="B375" t="s">
        <v>7</v>
      </c>
      <c r="C375">
        <v>614</v>
      </c>
      <c r="D375">
        <v>8</v>
      </c>
      <c r="E375">
        <v>2</v>
      </c>
      <c r="F375">
        <v>2</v>
      </c>
      <c r="G375">
        <v>37.29</v>
      </c>
    </row>
    <row r="376" spans="1:7" x14ac:dyDescent="0.3">
      <c r="A376">
        <v>7</v>
      </c>
      <c r="B376" t="s">
        <v>7</v>
      </c>
      <c r="C376">
        <v>614</v>
      </c>
      <c r="D376">
        <v>8</v>
      </c>
      <c r="E376">
        <v>2</v>
      </c>
      <c r="F376">
        <v>3</v>
      </c>
      <c r="G376">
        <v>35.6</v>
      </c>
    </row>
    <row r="377" spans="1:7" x14ac:dyDescent="0.3">
      <c r="A377">
        <v>7</v>
      </c>
      <c r="B377" t="s">
        <v>7</v>
      </c>
      <c r="C377">
        <v>614</v>
      </c>
      <c r="D377">
        <v>8</v>
      </c>
      <c r="E377">
        <v>2</v>
      </c>
      <c r="F377">
        <v>4</v>
      </c>
      <c r="G377">
        <v>33.35</v>
      </c>
    </row>
    <row r="378" spans="1:7" x14ac:dyDescent="0.3">
      <c r="A378">
        <v>7</v>
      </c>
      <c r="B378" t="s">
        <v>7</v>
      </c>
      <c r="C378">
        <v>615</v>
      </c>
      <c r="D378">
        <v>1</v>
      </c>
      <c r="E378">
        <v>2</v>
      </c>
      <c r="F378">
        <v>1</v>
      </c>
      <c r="G378">
        <v>48.5</v>
      </c>
    </row>
    <row r="379" spans="1:7" x14ac:dyDescent="0.3">
      <c r="A379">
        <v>7</v>
      </c>
      <c r="B379" t="s">
        <v>7</v>
      </c>
      <c r="C379">
        <v>615</v>
      </c>
      <c r="D379">
        <v>1</v>
      </c>
      <c r="E379">
        <v>2</v>
      </c>
      <c r="F379">
        <v>2</v>
      </c>
      <c r="G379">
        <v>36.799999999999997</v>
      </c>
    </row>
    <row r="380" spans="1:7" x14ac:dyDescent="0.3">
      <c r="A380">
        <v>7</v>
      </c>
      <c r="B380" t="s">
        <v>7</v>
      </c>
      <c r="C380">
        <v>615</v>
      </c>
      <c r="D380">
        <v>1</v>
      </c>
      <c r="E380">
        <v>2</v>
      </c>
      <c r="F380">
        <v>3</v>
      </c>
      <c r="G380">
        <v>48.32</v>
      </c>
    </row>
    <row r="381" spans="1:7" x14ac:dyDescent="0.3">
      <c r="A381">
        <v>7</v>
      </c>
      <c r="B381" t="s">
        <v>7</v>
      </c>
      <c r="C381">
        <v>615</v>
      </c>
      <c r="D381">
        <v>1</v>
      </c>
      <c r="E381">
        <v>2</v>
      </c>
      <c r="F381">
        <v>4</v>
      </c>
      <c r="G381">
        <v>41.54</v>
      </c>
    </row>
    <row r="382" spans="1:7" x14ac:dyDescent="0.3">
      <c r="A382">
        <v>8</v>
      </c>
      <c r="B382" t="s">
        <v>7</v>
      </c>
      <c r="C382">
        <v>701</v>
      </c>
      <c r="D382">
        <v>1</v>
      </c>
      <c r="E382">
        <v>3</v>
      </c>
      <c r="F382">
        <v>1</v>
      </c>
      <c r="G382">
        <v>53.56</v>
      </c>
    </row>
    <row r="383" spans="1:7" x14ac:dyDescent="0.3">
      <c r="A383">
        <v>8</v>
      </c>
      <c r="B383" t="s">
        <v>7</v>
      </c>
      <c r="C383">
        <v>701</v>
      </c>
      <c r="D383">
        <v>1</v>
      </c>
      <c r="E383">
        <v>3</v>
      </c>
      <c r="F383">
        <v>2</v>
      </c>
      <c r="G383">
        <v>49.72</v>
      </c>
    </row>
    <row r="384" spans="1:7" x14ac:dyDescent="0.3">
      <c r="A384">
        <v>8</v>
      </c>
      <c r="B384" t="s">
        <v>7</v>
      </c>
      <c r="C384">
        <v>701</v>
      </c>
      <c r="D384">
        <v>1</v>
      </c>
      <c r="E384">
        <v>3</v>
      </c>
      <c r="F384">
        <v>3</v>
      </c>
      <c r="G384">
        <v>48.77</v>
      </c>
    </row>
    <row r="385" spans="1:7" x14ac:dyDescent="0.3">
      <c r="A385">
        <v>8</v>
      </c>
      <c r="B385" t="s">
        <v>7</v>
      </c>
      <c r="C385">
        <v>701</v>
      </c>
      <c r="D385">
        <v>1</v>
      </c>
      <c r="E385">
        <v>3</v>
      </c>
      <c r="F385">
        <v>4</v>
      </c>
      <c r="G385">
        <v>46.84</v>
      </c>
    </row>
    <row r="386" spans="1:7" x14ac:dyDescent="0.3">
      <c r="A386">
        <v>8</v>
      </c>
      <c r="B386" t="s">
        <v>7</v>
      </c>
      <c r="C386">
        <v>702</v>
      </c>
      <c r="D386">
        <v>13</v>
      </c>
      <c r="E386">
        <v>1</v>
      </c>
      <c r="F386">
        <v>1</v>
      </c>
      <c r="G386">
        <v>51.82</v>
      </c>
    </row>
    <row r="387" spans="1:7" x14ac:dyDescent="0.3">
      <c r="A387">
        <v>8</v>
      </c>
      <c r="B387" t="s">
        <v>7</v>
      </c>
      <c r="C387">
        <v>702</v>
      </c>
      <c r="D387">
        <v>13</v>
      </c>
      <c r="E387">
        <v>1</v>
      </c>
      <c r="F387">
        <v>2</v>
      </c>
      <c r="G387">
        <v>45.02</v>
      </c>
    </row>
    <row r="388" spans="1:7" x14ac:dyDescent="0.3">
      <c r="A388">
        <v>8</v>
      </c>
      <c r="B388" t="s">
        <v>7</v>
      </c>
      <c r="C388">
        <v>702</v>
      </c>
      <c r="D388">
        <v>13</v>
      </c>
      <c r="E388">
        <v>1</v>
      </c>
      <c r="F388">
        <v>3</v>
      </c>
      <c r="G388">
        <v>49.44</v>
      </c>
    </row>
    <row r="389" spans="1:7" x14ac:dyDescent="0.3">
      <c r="A389">
        <v>8</v>
      </c>
      <c r="B389" t="s">
        <v>7</v>
      </c>
      <c r="C389">
        <v>702</v>
      </c>
      <c r="D389">
        <v>13</v>
      </c>
      <c r="E389">
        <v>1</v>
      </c>
      <c r="F389">
        <v>4</v>
      </c>
      <c r="G389">
        <v>51.32</v>
      </c>
    </row>
    <row r="390" spans="1:7" x14ac:dyDescent="0.3">
      <c r="A390">
        <v>8</v>
      </c>
      <c r="B390" t="s">
        <v>7</v>
      </c>
      <c r="C390">
        <v>703</v>
      </c>
      <c r="D390">
        <v>4</v>
      </c>
      <c r="E390">
        <v>1</v>
      </c>
      <c r="F390">
        <v>1</v>
      </c>
      <c r="G390">
        <v>52.85</v>
      </c>
    </row>
    <row r="391" spans="1:7" x14ac:dyDescent="0.3">
      <c r="A391">
        <v>8</v>
      </c>
      <c r="B391" t="s">
        <v>7</v>
      </c>
      <c r="C391">
        <v>703</v>
      </c>
      <c r="D391">
        <v>4</v>
      </c>
      <c r="E391">
        <v>1</v>
      </c>
      <c r="F391">
        <v>2</v>
      </c>
      <c r="G391">
        <v>40.840000000000003</v>
      </c>
    </row>
    <row r="392" spans="1:7" x14ac:dyDescent="0.3">
      <c r="A392">
        <v>8</v>
      </c>
      <c r="B392" t="s">
        <v>7</v>
      </c>
      <c r="C392">
        <v>703</v>
      </c>
      <c r="D392">
        <v>4</v>
      </c>
      <c r="E392">
        <v>1</v>
      </c>
      <c r="F392">
        <v>3</v>
      </c>
      <c r="G392">
        <v>64.45</v>
      </c>
    </row>
    <row r="393" spans="1:7" x14ac:dyDescent="0.3">
      <c r="A393">
        <v>8</v>
      </c>
      <c r="B393" t="s">
        <v>7</v>
      </c>
      <c r="C393">
        <v>703</v>
      </c>
      <c r="D393">
        <v>4</v>
      </c>
      <c r="E393">
        <v>1</v>
      </c>
      <c r="F393">
        <v>4</v>
      </c>
      <c r="G393">
        <v>44.43</v>
      </c>
    </row>
    <row r="394" spans="1:7" x14ac:dyDescent="0.3">
      <c r="A394">
        <v>8</v>
      </c>
      <c r="B394" t="s">
        <v>7</v>
      </c>
      <c r="C394">
        <v>704</v>
      </c>
      <c r="D394">
        <v>27</v>
      </c>
      <c r="E394">
        <v>1</v>
      </c>
      <c r="F394">
        <v>1</v>
      </c>
      <c r="G394">
        <v>56.64</v>
      </c>
    </row>
    <row r="395" spans="1:7" x14ac:dyDescent="0.3">
      <c r="A395">
        <v>8</v>
      </c>
      <c r="B395" t="s">
        <v>7</v>
      </c>
      <c r="C395">
        <v>704</v>
      </c>
      <c r="D395">
        <v>27</v>
      </c>
      <c r="E395">
        <v>1</v>
      </c>
      <c r="F395">
        <v>2</v>
      </c>
      <c r="G395">
        <v>46.06</v>
      </c>
    </row>
    <row r="396" spans="1:7" x14ac:dyDescent="0.3">
      <c r="A396">
        <v>8</v>
      </c>
      <c r="B396" t="s">
        <v>7</v>
      </c>
      <c r="C396">
        <v>704</v>
      </c>
      <c r="D396">
        <v>27</v>
      </c>
      <c r="E396">
        <v>1</v>
      </c>
      <c r="F396">
        <v>3</v>
      </c>
      <c r="G396">
        <v>55.46</v>
      </c>
    </row>
    <row r="397" spans="1:7" x14ac:dyDescent="0.3">
      <c r="A397">
        <v>8</v>
      </c>
      <c r="B397" t="s">
        <v>7</v>
      </c>
      <c r="C397">
        <v>704</v>
      </c>
      <c r="D397">
        <v>27</v>
      </c>
      <c r="E397">
        <v>1</v>
      </c>
      <c r="F397">
        <v>4</v>
      </c>
      <c r="G397">
        <v>51.41</v>
      </c>
    </row>
    <row r="398" spans="1:7" x14ac:dyDescent="0.3">
      <c r="A398">
        <v>8</v>
      </c>
      <c r="B398" t="s">
        <v>7</v>
      </c>
      <c r="C398">
        <v>705</v>
      </c>
      <c r="D398">
        <v>22</v>
      </c>
      <c r="E398">
        <v>3</v>
      </c>
      <c r="F398">
        <v>1</v>
      </c>
      <c r="G398">
        <v>49.67</v>
      </c>
    </row>
    <row r="399" spans="1:7" x14ac:dyDescent="0.3">
      <c r="A399">
        <v>8</v>
      </c>
      <c r="B399" t="s">
        <v>7</v>
      </c>
      <c r="C399">
        <v>705</v>
      </c>
      <c r="D399">
        <v>22</v>
      </c>
      <c r="E399">
        <v>3</v>
      </c>
      <c r="F399">
        <v>2</v>
      </c>
      <c r="G399">
        <v>49.98</v>
      </c>
    </row>
    <row r="400" spans="1:7" x14ac:dyDescent="0.3">
      <c r="A400">
        <v>8</v>
      </c>
      <c r="B400" t="s">
        <v>7</v>
      </c>
      <c r="C400">
        <v>705</v>
      </c>
      <c r="D400">
        <v>22</v>
      </c>
      <c r="E400">
        <v>3</v>
      </c>
      <c r="F400">
        <v>3</v>
      </c>
      <c r="G400">
        <v>49.5</v>
      </c>
    </row>
    <row r="401" spans="1:7" x14ac:dyDescent="0.3">
      <c r="A401">
        <v>8</v>
      </c>
      <c r="B401" t="s">
        <v>7</v>
      </c>
      <c r="C401">
        <v>705</v>
      </c>
      <c r="D401">
        <v>22</v>
      </c>
      <c r="E401">
        <v>3</v>
      </c>
      <c r="F401">
        <v>4</v>
      </c>
      <c r="G401">
        <v>47.35</v>
      </c>
    </row>
    <row r="402" spans="1:7" x14ac:dyDescent="0.3">
      <c r="A402">
        <v>8</v>
      </c>
      <c r="B402" t="s">
        <v>7</v>
      </c>
      <c r="C402">
        <v>706</v>
      </c>
      <c r="D402">
        <v>17</v>
      </c>
      <c r="E402">
        <v>3</v>
      </c>
      <c r="F402">
        <v>1</v>
      </c>
      <c r="G402">
        <v>50.26</v>
      </c>
    </row>
    <row r="403" spans="1:7" x14ac:dyDescent="0.3">
      <c r="A403">
        <v>8</v>
      </c>
      <c r="B403" t="s">
        <v>7</v>
      </c>
      <c r="C403">
        <v>706</v>
      </c>
      <c r="D403">
        <v>17</v>
      </c>
      <c r="E403">
        <v>3</v>
      </c>
      <c r="F403">
        <v>2</v>
      </c>
      <c r="G403">
        <v>52.05</v>
      </c>
    </row>
    <row r="404" spans="1:7" x14ac:dyDescent="0.3">
      <c r="A404">
        <v>8</v>
      </c>
      <c r="B404" t="s">
        <v>7</v>
      </c>
      <c r="C404">
        <v>706</v>
      </c>
      <c r="D404">
        <v>17</v>
      </c>
      <c r="E404">
        <v>3</v>
      </c>
      <c r="F404">
        <v>3</v>
      </c>
      <c r="G404">
        <v>51.14</v>
      </c>
    </row>
    <row r="405" spans="1:7" x14ac:dyDescent="0.3">
      <c r="A405">
        <v>8</v>
      </c>
      <c r="B405" t="s">
        <v>7</v>
      </c>
      <c r="C405">
        <v>706</v>
      </c>
      <c r="D405">
        <v>17</v>
      </c>
      <c r="E405">
        <v>3</v>
      </c>
      <c r="F405">
        <v>4</v>
      </c>
      <c r="G405">
        <v>46.3</v>
      </c>
    </row>
    <row r="406" spans="1:7" x14ac:dyDescent="0.3">
      <c r="A406">
        <v>8</v>
      </c>
      <c r="B406" t="s">
        <v>7</v>
      </c>
      <c r="C406">
        <v>707</v>
      </c>
      <c r="D406">
        <v>5</v>
      </c>
      <c r="E406">
        <v>1</v>
      </c>
      <c r="F406">
        <v>1</v>
      </c>
      <c r="G406">
        <v>56.99</v>
      </c>
    </row>
    <row r="407" spans="1:7" x14ac:dyDescent="0.3">
      <c r="A407">
        <v>8</v>
      </c>
      <c r="B407" t="s">
        <v>7</v>
      </c>
      <c r="C407">
        <v>707</v>
      </c>
      <c r="D407">
        <v>5</v>
      </c>
      <c r="E407">
        <v>1</v>
      </c>
      <c r="F407">
        <v>2</v>
      </c>
      <c r="G407">
        <v>45.57</v>
      </c>
    </row>
    <row r="408" spans="1:7" x14ac:dyDescent="0.3">
      <c r="A408">
        <v>8</v>
      </c>
      <c r="B408" t="s">
        <v>7</v>
      </c>
      <c r="C408">
        <v>707</v>
      </c>
      <c r="D408">
        <v>5</v>
      </c>
      <c r="E408">
        <v>1</v>
      </c>
      <c r="F408">
        <v>3</v>
      </c>
      <c r="G408">
        <v>45.92</v>
      </c>
    </row>
    <row r="409" spans="1:7" x14ac:dyDescent="0.3">
      <c r="A409">
        <v>8</v>
      </c>
      <c r="B409" t="s">
        <v>7</v>
      </c>
      <c r="C409">
        <v>707</v>
      </c>
      <c r="D409">
        <v>5</v>
      </c>
      <c r="E409">
        <v>1</v>
      </c>
      <c r="F409">
        <v>4</v>
      </c>
      <c r="G409">
        <v>50.52</v>
      </c>
    </row>
    <row r="410" spans="1:7" x14ac:dyDescent="0.3">
      <c r="A410">
        <v>8</v>
      </c>
      <c r="B410" t="s">
        <v>7</v>
      </c>
      <c r="C410">
        <v>708</v>
      </c>
      <c r="D410">
        <v>15</v>
      </c>
      <c r="E410">
        <v>2</v>
      </c>
      <c r="F410">
        <v>1</v>
      </c>
      <c r="G410">
        <v>32.61</v>
      </c>
    </row>
    <row r="411" spans="1:7" x14ac:dyDescent="0.3">
      <c r="A411">
        <v>8</v>
      </c>
      <c r="B411" t="s">
        <v>7</v>
      </c>
      <c r="C411">
        <v>708</v>
      </c>
      <c r="D411">
        <v>15</v>
      </c>
      <c r="E411">
        <v>2</v>
      </c>
      <c r="F411">
        <v>2</v>
      </c>
      <c r="G411">
        <v>57.27</v>
      </c>
    </row>
    <row r="412" spans="1:7" x14ac:dyDescent="0.3">
      <c r="A412">
        <v>8</v>
      </c>
      <c r="B412" t="s">
        <v>7</v>
      </c>
      <c r="C412">
        <v>708</v>
      </c>
      <c r="D412">
        <v>15</v>
      </c>
      <c r="E412">
        <v>2</v>
      </c>
      <c r="F412">
        <v>3</v>
      </c>
      <c r="G412">
        <v>37.32</v>
      </c>
    </row>
    <row r="413" spans="1:7" x14ac:dyDescent="0.3">
      <c r="A413">
        <v>8</v>
      </c>
      <c r="B413" t="s">
        <v>7</v>
      </c>
      <c r="C413">
        <v>708</v>
      </c>
      <c r="D413">
        <v>15</v>
      </c>
      <c r="E413">
        <v>2</v>
      </c>
      <c r="F413">
        <v>4</v>
      </c>
      <c r="G413">
        <v>41.22</v>
      </c>
    </row>
    <row r="414" spans="1:7" x14ac:dyDescent="0.3">
      <c r="A414">
        <v>8</v>
      </c>
      <c r="B414" t="s">
        <v>7</v>
      </c>
      <c r="C414">
        <v>709</v>
      </c>
      <c r="D414">
        <v>1</v>
      </c>
      <c r="E414">
        <v>2</v>
      </c>
      <c r="F414">
        <v>1</v>
      </c>
      <c r="G414">
        <v>39.729999999999997</v>
      </c>
    </row>
    <row r="415" spans="1:7" x14ac:dyDescent="0.3">
      <c r="A415">
        <v>8</v>
      </c>
      <c r="B415" t="s">
        <v>7</v>
      </c>
      <c r="C415">
        <v>709</v>
      </c>
      <c r="D415">
        <v>1</v>
      </c>
      <c r="E415">
        <v>2</v>
      </c>
      <c r="F415">
        <v>2</v>
      </c>
      <c r="G415">
        <v>50.3</v>
      </c>
    </row>
    <row r="416" spans="1:7" x14ac:dyDescent="0.3">
      <c r="A416">
        <v>8</v>
      </c>
      <c r="B416" t="s">
        <v>7</v>
      </c>
      <c r="C416">
        <v>709</v>
      </c>
      <c r="D416">
        <v>1</v>
      </c>
      <c r="E416">
        <v>2</v>
      </c>
      <c r="F416">
        <v>3</v>
      </c>
      <c r="G416">
        <v>40.159999999999997</v>
      </c>
    </row>
    <row r="417" spans="1:7" x14ac:dyDescent="0.3">
      <c r="A417">
        <v>8</v>
      </c>
      <c r="B417" t="s">
        <v>7</v>
      </c>
      <c r="C417">
        <v>709</v>
      </c>
      <c r="D417">
        <v>1</v>
      </c>
      <c r="E417">
        <v>2</v>
      </c>
      <c r="F417">
        <v>4</v>
      </c>
      <c r="G417">
        <v>41.37</v>
      </c>
    </row>
    <row r="418" spans="1:7" x14ac:dyDescent="0.3">
      <c r="A418">
        <v>8</v>
      </c>
      <c r="B418" t="s">
        <v>7</v>
      </c>
      <c r="C418">
        <v>710</v>
      </c>
      <c r="D418">
        <v>24</v>
      </c>
      <c r="E418">
        <v>3</v>
      </c>
      <c r="F418">
        <v>1</v>
      </c>
      <c r="G418">
        <v>54.79</v>
      </c>
    </row>
    <row r="419" spans="1:7" x14ac:dyDescent="0.3">
      <c r="A419">
        <v>8</v>
      </c>
      <c r="B419" t="s">
        <v>7</v>
      </c>
      <c r="C419">
        <v>710</v>
      </c>
      <c r="D419">
        <v>24</v>
      </c>
      <c r="E419">
        <v>3</v>
      </c>
      <c r="F419">
        <v>2</v>
      </c>
      <c r="G419">
        <v>52.39</v>
      </c>
    </row>
    <row r="420" spans="1:7" x14ac:dyDescent="0.3">
      <c r="A420">
        <v>8</v>
      </c>
      <c r="B420" t="s">
        <v>7</v>
      </c>
      <c r="C420">
        <v>710</v>
      </c>
      <c r="D420">
        <v>24</v>
      </c>
      <c r="E420">
        <v>3</v>
      </c>
      <c r="F420">
        <v>3</v>
      </c>
      <c r="G420">
        <v>42.15</v>
      </c>
    </row>
    <row r="421" spans="1:7" x14ac:dyDescent="0.3">
      <c r="A421">
        <v>8</v>
      </c>
      <c r="B421" t="s">
        <v>7</v>
      </c>
      <c r="C421">
        <v>710</v>
      </c>
      <c r="D421">
        <v>24</v>
      </c>
      <c r="E421">
        <v>3</v>
      </c>
      <c r="F421">
        <v>4</v>
      </c>
      <c r="G421">
        <v>49.63</v>
      </c>
    </row>
    <row r="422" spans="1:7" x14ac:dyDescent="0.3">
      <c r="A422">
        <v>8</v>
      </c>
      <c r="B422" t="s">
        <v>7</v>
      </c>
      <c r="C422">
        <v>711</v>
      </c>
      <c r="D422">
        <v>1</v>
      </c>
      <c r="E422">
        <v>1</v>
      </c>
      <c r="F422">
        <v>1</v>
      </c>
      <c r="G422">
        <v>54.95</v>
      </c>
    </row>
    <row r="423" spans="1:7" x14ac:dyDescent="0.3">
      <c r="A423">
        <v>8</v>
      </c>
      <c r="B423" t="s">
        <v>7</v>
      </c>
      <c r="C423">
        <v>711</v>
      </c>
      <c r="D423">
        <v>1</v>
      </c>
      <c r="E423">
        <v>1</v>
      </c>
      <c r="F423">
        <v>2</v>
      </c>
      <c r="G423">
        <v>55.78</v>
      </c>
    </row>
    <row r="424" spans="1:7" x14ac:dyDescent="0.3">
      <c r="A424">
        <v>8</v>
      </c>
      <c r="B424" t="s">
        <v>7</v>
      </c>
      <c r="C424">
        <v>711</v>
      </c>
      <c r="D424">
        <v>1</v>
      </c>
      <c r="E424">
        <v>1</v>
      </c>
      <c r="F424">
        <v>3</v>
      </c>
      <c r="G424">
        <v>46.49</v>
      </c>
    </row>
    <row r="425" spans="1:7" x14ac:dyDescent="0.3">
      <c r="A425">
        <v>8</v>
      </c>
      <c r="B425" t="s">
        <v>7</v>
      </c>
      <c r="C425">
        <v>711</v>
      </c>
      <c r="D425">
        <v>1</v>
      </c>
      <c r="E425">
        <v>1</v>
      </c>
      <c r="F425">
        <v>4</v>
      </c>
      <c r="G425">
        <v>56.84</v>
      </c>
    </row>
    <row r="426" spans="1:7" x14ac:dyDescent="0.3">
      <c r="A426">
        <v>8</v>
      </c>
      <c r="B426" t="s">
        <v>7</v>
      </c>
      <c r="C426">
        <v>712</v>
      </c>
      <c r="D426">
        <v>9</v>
      </c>
      <c r="E426">
        <v>3</v>
      </c>
      <c r="F426">
        <v>1</v>
      </c>
      <c r="G426">
        <v>48.06</v>
      </c>
    </row>
    <row r="427" spans="1:7" x14ac:dyDescent="0.3">
      <c r="A427">
        <v>8</v>
      </c>
      <c r="B427" t="s">
        <v>7</v>
      </c>
      <c r="C427">
        <v>712</v>
      </c>
      <c r="D427">
        <v>9</v>
      </c>
      <c r="E427">
        <v>3</v>
      </c>
      <c r="F427">
        <v>2</v>
      </c>
      <c r="G427">
        <v>51.09</v>
      </c>
    </row>
    <row r="428" spans="1:7" x14ac:dyDescent="0.3">
      <c r="A428">
        <v>8</v>
      </c>
      <c r="B428" t="s">
        <v>7</v>
      </c>
      <c r="C428">
        <v>712</v>
      </c>
      <c r="D428">
        <v>9</v>
      </c>
      <c r="E428">
        <v>3</v>
      </c>
      <c r="F428">
        <v>3</v>
      </c>
      <c r="G428">
        <v>44.19</v>
      </c>
    </row>
    <row r="429" spans="1:7" x14ac:dyDescent="0.3">
      <c r="A429">
        <v>8</v>
      </c>
      <c r="B429" t="s">
        <v>7</v>
      </c>
      <c r="C429">
        <v>712</v>
      </c>
      <c r="D429">
        <v>9</v>
      </c>
      <c r="E429">
        <v>3</v>
      </c>
      <c r="F429">
        <v>4</v>
      </c>
      <c r="G429">
        <v>49.52</v>
      </c>
    </row>
    <row r="430" spans="1:7" x14ac:dyDescent="0.3">
      <c r="A430">
        <v>9</v>
      </c>
      <c r="B430" t="s">
        <v>7</v>
      </c>
      <c r="C430">
        <v>801</v>
      </c>
      <c r="D430">
        <v>3</v>
      </c>
      <c r="E430">
        <v>1</v>
      </c>
      <c r="F430">
        <v>1</v>
      </c>
      <c r="G430">
        <v>65.11</v>
      </c>
    </row>
    <row r="431" spans="1:7" x14ac:dyDescent="0.3">
      <c r="A431">
        <v>9</v>
      </c>
      <c r="B431" t="s">
        <v>7</v>
      </c>
      <c r="C431">
        <v>801</v>
      </c>
      <c r="D431">
        <v>3</v>
      </c>
      <c r="E431">
        <v>1</v>
      </c>
      <c r="F431">
        <v>2</v>
      </c>
      <c r="G431">
        <v>54.38</v>
      </c>
    </row>
    <row r="432" spans="1:7" x14ac:dyDescent="0.3">
      <c r="A432">
        <v>9</v>
      </c>
      <c r="B432" t="s">
        <v>7</v>
      </c>
      <c r="C432">
        <v>801</v>
      </c>
      <c r="D432">
        <v>3</v>
      </c>
      <c r="E432">
        <v>1</v>
      </c>
      <c r="F432">
        <v>3</v>
      </c>
      <c r="G432">
        <v>57.14</v>
      </c>
    </row>
    <row r="433" spans="1:7" x14ac:dyDescent="0.3">
      <c r="A433">
        <v>9</v>
      </c>
      <c r="B433" t="s">
        <v>7</v>
      </c>
      <c r="C433">
        <v>801</v>
      </c>
      <c r="D433">
        <v>3</v>
      </c>
      <c r="E433">
        <v>1</v>
      </c>
      <c r="F433">
        <v>4</v>
      </c>
      <c r="G433">
        <v>49.91</v>
      </c>
    </row>
    <row r="434" spans="1:7" x14ac:dyDescent="0.3">
      <c r="A434">
        <v>9</v>
      </c>
      <c r="B434" t="s">
        <v>7</v>
      </c>
      <c r="C434">
        <v>802</v>
      </c>
      <c r="D434">
        <v>9</v>
      </c>
      <c r="E434">
        <v>2</v>
      </c>
      <c r="F434">
        <v>1</v>
      </c>
      <c r="G434">
        <v>48.76</v>
      </c>
    </row>
    <row r="435" spans="1:7" x14ac:dyDescent="0.3">
      <c r="A435">
        <v>9</v>
      </c>
      <c r="B435" t="s">
        <v>7</v>
      </c>
      <c r="C435">
        <v>802</v>
      </c>
      <c r="D435">
        <v>9</v>
      </c>
      <c r="E435">
        <v>2</v>
      </c>
      <c r="F435">
        <v>2</v>
      </c>
      <c r="G435">
        <v>44.14</v>
      </c>
    </row>
    <row r="436" spans="1:7" x14ac:dyDescent="0.3">
      <c r="A436">
        <v>9</v>
      </c>
      <c r="B436" t="s">
        <v>7</v>
      </c>
      <c r="C436">
        <v>802</v>
      </c>
      <c r="D436">
        <v>9</v>
      </c>
      <c r="E436">
        <v>2</v>
      </c>
      <c r="F436">
        <v>3</v>
      </c>
      <c r="G436">
        <v>58.1</v>
      </c>
    </row>
    <row r="437" spans="1:7" x14ac:dyDescent="0.3">
      <c r="A437">
        <v>9</v>
      </c>
      <c r="B437" t="s">
        <v>7</v>
      </c>
      <c r="C437">
        <v>802</v>
      </c>
      <c r="D437">
        <v>9</v>
      </c>
      <c r="E437">
        <v>2</v>
      </c>
      <c r="F437">
        <v>4</v>
      </c>
      <c r="G437">
        <v>44.16</v>
      </c>
    </row>
    <row r="438" spans="1:7" x14ac:dyDescent="0.3">
      <c r="A438">
        <v>9</v>
      </c>
      <c r="B438" t="s">
        <v>7</v>
      </c>
      <c r="C438">
        <v>803</v>
      </c>
      <c r="D438">
        <v>10</v>
      </c>
      <c r="E438">
        <v>3</v>
      </c>
      <c r="F438">
        <v>1</v>
      </c>
      <c r="G438">
        <v>44.66</v>
      </c>
    </row>
    <row r="439" spans="1:7" x14ac:dyDescent="0.3">
      <c r="A439">
        <v>9</v>
      </c>
      <c r="B439" t="s">
        <v>7</v>
      </c>
      <c r="C439">
        <v>803</v>
      </c>
      <c r="D439">
        <v>10</v>
      </c>
      <c r="E439">
        <v>3</v>
      </c>
      <c r="F439">
        <v>2</v>
      </c>
      <c r="G439">
        <v>53.78</v>
      </c>
    </row>
    <row r="440" spans="1:7" x14ac:dyDescent="0.3">
      <c r="A440">
        <v>9</v>
      </c>
      <c r="B440" t="s">
        <v>7</v>
      </c>
      <c r="C440">
        <v>803</v>
      </c>
      <c r="D440">
        <v>10</v>
      </c>
      <c r="E440">
        <v>3</v>
      </c>
      <c r="F440">
        <v>3</v>
      </c>
      <c r="G440">
        <v>43.91</v>
      </c>
    </row>
    <row r="441" spans="1:7" x14ac:dyDescent="0.3">
      <c r="A441">
        <v>9</v>
      </c>
      <c r="B441" t="s">
        <v>7</v>
      </c>
      <c r="C441">
        <v>803</v>
      </c>
      <c r="D441">
        <v>10</v>
      </c>
      <c r="E441">
        <v>3</v>
      </c>
      <c r="F441">
        <v>4</v>
      </c>
      <c r="G441">
        <v>52.41</v>
      </c>
    </row>
    <row r="442" spans="1:7" x14ac:dyDescent="0.3">
      <c r="A442">
        <v>9</v>
      </c>
      <c r="B442" t="s">
        <v>7</v>
      </c>
      <c r="C442">
        <v>804</v>
      </c>
      <c r="D442">
        <v>1</v>
      </c>
      <c r="E442">
        <v>1</v>
      </c>
      <c r="F442">
        <v>1</v>
      </c>
      <c r="G442">
        <v>50.54</v>
      </c>
    </row>
    <row r="443" spans="1:7" x14ac:dyDescent="0.3">
      <c r="A443">
        <v>9</v>
      </c>
      <c r="B443" t="s">
        <v>7</v>
      </c>
      <c r="C443">
        <v>804</v>
      </c>
      <c r="D443">
        <v>1</v>
      </c>
      <c r="E443">
        <v>1</v>
      </c>
      <c r="F443">
        <v>2</v>
      </c>
      <c r="G443">
        <v>58.43</v>
      </c>
    </row>
    <row r="444" spans="1:7" x14ac:dyDescent="0.3">
      <c r="A444">
        <v>9</v>
      </c>
      <c r="B444" t="s">
        <v>7</v>
      </c>
      <c r="C444">
        <v>804</v>
      </c>
      <c r="D444">
        <v>1</v>
      </c>
      <c r="E444">
        <v>1</v>
      </c>
      <c r="F444">
        <v>3</v>
      </c>
      <c r="G444">
        <v>59.77</v>
      </c>
    </row>
    <row r="445" spans="1:7" x14ac:dyDescent="0.3">
      <c r="A445">
        <v>9</v>
      </c>
      <c r="B445" t="s">
        <v>7</v>
      </c>
      <c r="C445">
        <v>804</v>
      </c>
      <c r="D445">
        <v>1</v>
      </c>
      <c r="E445">
        <v>1</v>
      </c>
      <c r="F445">
        <v>4</v>
      </c>
      <c r="G445">
        <v>60.44</v>
      </c>
    </row>
    <row r="446" spans="1:7" x14ac:dyDescent="0.3">
      <c r="A446">
        <v>9</v>
      </c>
      <c r="B446" t="s">
        <v>7</v>
      </c>
      <c r="C446">
        <v>805</v>
      </c>
      <c r="D446">
        <v>6</v>
      </c>
      <c r="E446">
        <v>3</v>
      </c>
      <c r="F446">
        <v>1</v>
      </c>
      <c r="G446">
        <v>50.94</v>
      </c>
    </row>
    <row r="447" spans="1:7" x14ac:dyDescent="0.3">
      <c r="A447">
        <v>9</v>
      </c>
      <c r="B447" t="s">
        <v>7</v>
      </c>
      <c r="C447">
        <v>805</v>
      </c>
      <c r="D447">
        <v>6</v>
      </c>
      <c r="E447">
        <v>3</v>
      </c>
      <c r="F447">
        <v>2</v>
      </c>
      <c r="G447">
        <v>49.38</v>
      </c>
    </row>
    <row r="448" spans="1:7" x14ac:dyDescent="0.3">
      <c r="A448">
        <v>9</v>
      </c>
      <c r="B448" t="s">
        <v>7</v>
      </c>
      <c r="C448">
        <v>805</v>
      </c>
      <c r="D448">
        <v>6</v>
      </c>
      <c r="E448">
        <v>3</v>
      </c>
      <c r="F448">
        <v>3</v>
      </c>
      <c r="G448">
        <v>63.98</v>
      </c>
    </row>
    <row r="449" spans="1:7" x14ac:dyDescent="0.3">
      <c r="A449">
        <v>9</v>
      </c>
      <c r="B449" t="s">
        <v>7</v>
      </c>
      <c r="C449">
        <v>805</v>
      </c>
      <c r="D449">
        <v>6</v>
      </c>
      <c r="E449">
        <v>3</v>
      </c>
      <c r="F449">
        <v>4</v>
      </c>
      <c r="G449">
        <v>45.84</v>
      </c>
    </row>
    <row r="450" spans="1:7" x14ac:dyDescent="0.3">
      <c r="A450">
        <v>9</v>
      </c>
      <c r="B450" t="s">
        <v>7</v>
      </c>
      <c r="C450">
        <v>806</v>
      </c>
      <c r="D450">
        <v>5</v>
      </c>
      <c r="E450">
        <v>3</v>
      </c>
      <c r="F450">
        <v>1</v>
      </c>
      <c r="G450">
        <v>51.01</v>
      </c>
    </row>
    <row r="451" spans="1:7" x14ac:dyDescent="0.3">
      <c r="A451">
        <v>9</v>
      </c>
      <c r="B451" t="s">
        <v>7</v>
      </c>
      <c r="C451">
        <v>806</v>
      </c>
      <c r="D451">
        <v>5</v>
      </c>
      <c r="E451">
        <v>3</v>
      </c>
      <c r="F451">
        <v>2</v>
      </c>
      <c r="G451">
        <v>56.16</v>
      </c>
    </row>
    <row r="452" spans="1:7" x14ac:dyDescent="0.3">
      <c r="A452">
        <v>9</v>
      </c>
      <c r="B452" t="s">
        <v>7</v>
      </c>
      <c r="C452">
        <v>806</v>
      </c>
      <c r="D452">
        <v>5</v>
      </c>
      <c r="E452">
        <v>3</v>
      </c>
      <c r="F452">
        <v>3</v>
      </c>
      <c r="G452">
        <v>45.77</v>
      </c>
    </row>
    <row r="453" spans="1:7" x14ac:dyDescent="0.3">
      <c r="A453">
        <v>9</v>
      </c>
      <c r="B453" t="s">
        <v>7</v>
      </c>
      <c r="C453">
        <v>806</v>
      </c>
      <c r="D453">
        <v>5</v>
      </c>
      <c r="E453">
        <v>3</v>
      </c>
      <c r="F453">
        <v>4</v>
      </c>
      <c r="G453">
        <v>46.47</v>
      </c>
    </row>
    <row r="454" spans="1:7" x14ac:dyDescent="0.3">
      <c r="A454">
        <v>9</v>
      </c>
      <c r="B454" t="s">
        <v>7</v>
      </c>
      <c r="C454">
        <v>807</v>
      </c>
      <c r="D454">
        <v>1</v>
      </c>
      <c r="E454">
        <v>2</v>
      </c>
      <c r="F454">
        <v>1</v>
      </c>
      <c r="G454">
        <v>46.02</v>
      </c>
    </row>
    <row r="455" spans="1:7" x14ac:dyDescent="0.3">
      <c r="A455">
        <v>9</v>
      </c>
      <c r="B455" t="s">
        <v>7</v>
      </c>
      <c r="C455">
        <v>807</v>
      </c>
      <c r="D455">
        <v>1</v>
      </c>
      <c r="E455">
        <v>2</v>
      </c>
      <c r="F455">
        <v>2</v>
      </c>
      <c r="G455">
        <v>51.09</v>
      </c>
    </row>
    <row r="456" spans="1:7" x14ac:dyDescent="0.3">
      <c r="A456">
        <v>9</v>
      </c>
      <c r="B456" t="s">
        <v>7</v>
      </c>
      <c r="C456">
        <v>807</v>
      </c>
      <c r="D456">
        <v>1</v>
      </c>
      <c r="E456">
        <v>2</v>
      </c>
      <c r="F456">
        <v>3</v>
      </c>
      <c r="G456">
        <v>51.68</v>
      </c>
    </row>
    <row r="457" spans="1:7" x14ac:dyDescent="0.3">
      <c r="A457">
        <v>9</v>
      </c>
      <c r="B457" t="s">
        <v>7</v>
      </c>
      <c r="C457">
        <v>807</v>
      </c>
      <c r="D457">
        <v>1</v>
      </c>
      <c r="E457">
        <v>2</v>
      </c>
      <c r="F457">
        <v>4</v>
      </c>
      <c r="G457">
        <v>55.91</v>
      </c>
    </row>
    <row r="458" spans="1:7" x14ac:dyDescent="0.3">
      <c r="A458">
        <v>9</v>
      </c>
      <c r="B458" t="s">
        <v>7</v>
      </c>
      <c r="C458">
        <v>808</v>
      </c>
      <c r="D458">
        <v>20</v>
      </c>
      <c r="E458">
        <v>3</v>
      </c>
      <c r="F458">
        <v>1</v>
      </c>
      <c r="G458">
        <v>55.9</v>
      </c>
    </row>
    <row r="459" spans="1:7" x14ac:dyDescent="0.3">
      <c r="A459">
        <v>9</v>
      </c>
      <c r="B459" t="s">
        <v>7</v>
      </c>
      <c r="C459">
        <v>808</v>
      </c>
      <c r="D459">
        <v>20</v>
      </c>
      <c r="E459">
        <v>3</v>
      </c>
      <c r="F459">
        <v>2</v>
      </c>
      <c r="G459">
        <v>59.8</v>
      </c>
    </row>
    <row r="460" spans="1:7" x14ac:dyDescent="0.3">
      <c r="A460">
        <v>9</v>
      </c>
      <c r="B460" t="s">
        <v>7</v>
      </c>
      <c r="C460">
        <v>808</v>
      </c>
      <c r="D460">
        <v>20</v>
      </c>
      <c r="E460">
        <v>3</v>
      </c>
      <c r="F460">
        <v>3</v>
      </c>
      <c r="G460">
        <v>60.97</v>
      </c>
    </row>
    <row r="461" spans="1:7" x14ac:dyDescent="0.3">
      <c r="A461">
        <v>9</v>
      </c>
      <c r="B461" t="s">
        <v>7</v>
      </c>
      <c r="C461">
        <v>808</v>
      </c>
      <c r="D461">
        <v>20</v>
      </c>
      <c r="E461">
        <v>3</v>
      </c>
      <c r="F461">
        <v>4</v>
      </c>
      <c r="G461">
        <v>64.14</v>
      </c>
    </row>
    <row r="462" spans="1:7" x14ac:dyDescent="0.3">
      <c r="A462">
        <v>9</v>
      </c>
      <c r="B462" t="s">
        <v>7</v>
      </c>
      <c r="C462">
        <v>809</v>
      </c>
      <c r="D462">
        <v>9</v>
      </c>
      <c r="E462">
        <v>3</v>
      </c>
      <c r="F462">
        <v>1</v>
      </c>
      <c r="G462">
        <v>39.979999999999997</v>
      </c>
    </row>
    <row r="463" spans="1:7" x14ac:dyDescent="0.3">
      <c r="A463">
        <v>9</v>
      </c>
      <c r="B463" t="s">
        <v>7</v>
      </c>
      <c r="C463">
        <v>809</v>
      </c>
      <c r="D463">
        <v>9</v>
      </c>
      <c r="E463">
        <v>3</v>
      </c>
      <c r="F463">
        <v>2</v>
      </c>
      <c r="G463">
        <v>54.58</v>
      </c>
    </row>
    <row r="464" spans="1:7" x14ac:dyDescent="0.3">
      <c r="A464">
        <v>9</v>
      </c>
      <c r="B464" t="s">
        <v>7</v>
      </c>
      <c r="C464">
        <v>809</v>
      </c>
      <c r="D464">
        <v>9</v>
      </c>
      <c r="E464">
        <v>3</v>
      </c>
      <c r="F464">
        <v>3</v>
      </c>
      <c r="G464">
        <v>52.64</v>
      </c>
    </row>
    <row r="465" spans="1:7" x14ac:dyDescent="0.3">
      <c r="A465">
        <v>9</v>
      </c>
      <c r="B465" t="s">
        <v>7</v>
      </c>
      <c r="C465">
        <v>809</v>
      </c>
      <c r="D465">
        <v>9</v>
      </c>
      <c r="E465">
        <v>3</v>
      </c>
      <c r="F465">
        <v>4</v>
      </c>
      <c r="G465">
        <v>45.43</v>
      </c>
    </row>
    <row r="466" spans="1:7" x14ac:dyDescent="0.3">
      <c r="A466">
        <v>9</v>
      </c>
      <c r="B466" t="s">
        <v>7</v>
      </c>
      <c r="C466">
        <v>810</v>
      </c>
      <c r="D466">
        <v>13</v>
      </c>
      <c r="E466">
        <v>1</v>
      </c>
      <c r="F466">
        <v>1</v>
      </c>
      <c r="G466">
        <v>49.3</v>
      </c>
    </row>
    <row r="467" spans="1:7" x14ac:dyDescent="0.3">
      <c r="A467">
        <v>9</v>
      </c>
      <c r="B467" t="s">
        <v>7</v>
      </c>
      <c r="C467">
        <v>810</v>
      </c>
      <c r="D467">
        <v>13</v>
      </c>
      <c r="E467">
        <v>1</v>
      </c>
      <c r="F467">
        <v>2</v>
      </c>
      <c r="G467">
        <v>61.8</v>
      </c>
    </row>
    <row r="468" spans="1:7" x14ac:dyDescent="0.3">
      <c r="A468">
        <v>9</v>
      </c>
      <c r="B468" t="s">
        <v>7</v>
      </c>
      <c r="C468">
        <v>810</v>
      </c>
      <c r="D468">
        <v>13</v>
      </c>
      <c r="E468">
        <v>1</v>
      </c>
      <c r="F468">
        <v>3</v>
      </c>
      <c r="G468">
        <v>58</v>
      </c>
    </row>
    <row r="469" spans="1:7" x14ac:dyDescent="0.3">
      <c r="A469">
        <v>9</v>
      </c>
      <c r="B469" t="s">
        <v>7</v>
      </c>
      <c r="C469">
        <v>810</v>
      </c>
      <c r="D469">
        <v>13</v>
      </c>
      <c r="E469">
        <v>1</v>
      </c>
      <c r="F469">
        <v>4</v>
      </c>
      <c r="G469">
        <v>55.2</v>
      </c>
    </row>
    <row r="470" spans="1:7" x14ac:dyDescent="0.3">
      <c r="A470">
        <v>10</v>
      </c>
      <c r="B470" t="s">
        <v>9</v>
      </c>
      <c r="C470">
        <v>901</v>
      </c>
      <c r="D470">
        <v>7</v>
      </c>
      <c r="E470">
        <v>2</v>
      </c>
      <c r="F470">
        <v>1</v>
      </c>
      <c r="G470">
        <v>53.76</v>
      </c>
    </row>
    <row r="471" spans="1:7" x14ac:dyDescent="0.3">
      <c r="A471">
        <v>10</v>
      </c>
      <c r="B471" t="s">
        <v>9</v>
      </c>
      <c r="C471">
        <v>901</v>
      </c>
      <c r="D471">
        <v>7</v>
      </c>
      <c r="E471">
        <v>2</v>
      </c>
      <c r="F471">
        <v>2</v>
      </c>
      <c r="G471">
        <v>39.36</v>
      </c>
    </row>
    <row r="472" spans="1:7" x14ac:dyDescent="0.3">
      <c r="A472">
        <v>10</v>
      </c>
      <c r="B472" t="s">
        <v>9</v>
      </c>
      <c r="C472">
        <v>901</v>
      </c>
      <c r="D472">
        <v>7</v>
      </c>
      <c r="E472">
        <v>2</v>
      </c>
      <c r="F472">
        <v>3</v>
      </c>
      <c r="G472">
        <v>47.2</v>
      </c>
    </row>
    <row r="473" spans="1:7" x14ac:dyDescent="0.3">
      <c r="A473">
        <v>10</v>
      </c>
      <c r="B473" t="s">
        <v>9</v>
      </c>
      <c r="C473">
        <v>901</v>
      </c>
      <c r="D473">
        <v>7</v>
      </c>
      <c r="E473">
        <v>2</v>
      </c>
      <c r="F473">
        <v>4</v>
      </c>
      <c r="G473">
        <v>53.66</v>
      </c>
    </row>
    <row r="474" spans="1:7" x14ac:dyDescent="0.3">
      <c r="A474">
        <v>10</v>
      </c>
      <c r="B474" t="s">
        <v>9</v>
      </c>
      <c r="C474">
        <v>902</v>
      </c>
      <c r="D474">
        <v>1</v>
      </c>
      <c r="E474">
        <v>1</v>
      </c>
      <c r="F474">
        <v>1</v>
      </c>
      <c r="G474">
        <v>61.53</v>
      </c>
    </row>
    <row r="475" spans="1:7" x14ac:dyDescent="0.3">
      <c r="A475">
        <v>10</v>
      </c>
      <c r="B475" t="s">
        <v>9</v>
      </c>
      <c r="C475">
        <v>902</v>
      </c>
      <c r="D475">
        <v>1</v>
      </c>
      <c r="E475">
        <v>1</v>
      </c>
      <c r="F475">
        <v>2</v>
      </c>
      <c r="G475">
        <v>59.17</v>
      </c>
    </row>
    <row r="476" spans="1:7" x14ac:dyDescent="0.3">
      <c r="A476">
        <v>10</v>
      </c>
      <c r="B476" t="s">
        <v>9</v>
      </c>
      <c r="C476">
        <v>902</v>
      </c>
      <c r="D476">
        <v>1</v>
      </c>
      <c r="E476">
        <v>1</v>
      </c>
      <c r="F476">
        <v>3</v>
      </c>
      <c r="G476">
        <v>63.73</v>
      </c>
    </row>
    <row r="477" spans="1:7" x14ac:dyDescent="0.3">
      <c r="A477">
        <v>10</v>
      </c>
      <c r="B477" t="s">
        <v>9</v>
      </c>
      <c r="C477">
        <v>902</v>
      </c>
      <c r="D477">
        <v>1</v>
      </c>
      <c r="E477">
        <v>1</v>
      </c>
      <c r="F477">
        <v>4</v>
      </c>
      <c r="G477">
        <v>61.77</v>
      </c>
    </row>
    <row r="478" spans="1:7" x14ac:dyDescent="0.3">
      <c r="A478">
        <v>10</v>
      </c>
      <c r="B478" t="s">
        <v>9</v>
      </c>
      <c r="C478">
        <v>903</v>
      </c>
      <c r="D478">
        <v>7</v>
      </c>
      <c r="E478">
        <v>3</v>
      </c>
      <c r="F478">
        <v>1</v>
      </c>
      <c r="G478">
        <v>51.89</v>
      </c>
    </row>
    <row r="479" spans="1:7" x14ac:dyDescent="0.3">
      <c r="A479">
        <v>10</v>
      </c>
      <c r="B479" t="s">
        <v>9</v>
      </c>
      <c r="C479">
        <v>903</v>
      </c>
      <c r="D479">
        <v>7</v>
      </c>
      <c r="E479">
        <v>3</v>
      </c>
      <c r="F479">
        <v>2</v>
      </c>
      <c r="G479">
        <v>51.17</v>
      </c>
    </row>
    <row r="480" spans="1:7" x14ac:dyDescent="0.3">
      <c r="A480">
        <v>10</v>
      </c>
      <c r="B480" t="s">
        <v>9</v>
      </c>
      <c r="C480">
        <v>903</v>
      </c>
      <c r="D480">
        <v>7</v>
      </c>
      <c r="E480">
        <v>3</v>
      </c>
      <c r="F480">
        <v>3</v>
      </c>
      <c r="G480">
        <v>54.33</v>
      </c>
    </row>
    <row r="481" spans="1:7" x14ac:dyDescent="0.3">
      <c r="A481">
        <v>10</v>
      </c>
      <c r="B481" t="s">
        <v>9</v>
      </c>
      <c r="C481">
        <v>903</v>
      </c>
      <c r="D481">
        <v>7</v>
      </c>
      <c r="E481">
        <v>3</v>
      </c>
      <c r="F481">
        <v>4</v>
      </c>
      <c r="G481">
        <v>50.05</v>
      </c>
    </row>
    <row r="482" spans="1:7" x14ac:dyDescent="0.3">
      <c r="A482">
        <v>10</v>
      </c>
      <c r="B482" t="s">
        <v>9</v>
      </c>
      <c r="C482">
        <v>904</v>
      </c>
      <c r="D482">
        <v>10</v>
      </c>
      <c r="E482">
        <v>2</v>
      </c>
      <c r="F482">
        <v>1</v>
      </c>
      <c r="G482">
        <v>51.09</v>
      </c>
    </row>
    <row r="483" spans="1:7" x14ac:dyDescent="0.3">
      <c r="A483">
        <v>10</v>
      </c>
      <c r="B483" t="s">
        <v>9</v>
      </c>
      <c r="C483">
        <v>904</v>
      </c>
      <c r="D483">
        <v>10</v>
      </c>
      <c r="E483">
        <v>2</v>
      </c>
      <c r="F483">
        <v>2</v>
      </c>
      <c r="G483">
        <v>54.82</v>
      </c>
    </row>
    <row r="484" spans="1:7" x14ac:dyDescent="0.3">
      <c r="A484">
        <v>10</v>
      </c>
      <c r="B484" t="s">
        <v>9</v>
      </c>
      <c r="C484">
        <v>904</v>
      </c>
      <c r="D484">
        <v>10</v>
      </c>
      <c r="E484">
        <v>2</v>
      </c>
      <c r="F484">
        <v>3</v>
      </c>
      <c r="G484">
        <v>44.16</v>
      </c>
    </row>
    <row r="485" spans="1:7" x14ac:dyDescent="0.3">
      <c r="A485">
        <v>10</v>
      </c>
      <c r="B485" t="s">
        <v>9</v>
      </c>
      <c r="C485">
        <v>904</v>
      </c>
      <c r="D485">
        <v>10</v>
      </c>
      <c r="E485">
        <v>2</v>
      </c>
      <c r="F485">
        <v>4</v>
      </c>
      <c r="G485">
        <v>53.95</v>
      </c>
    </row>
    <row r="486" spans="1:7" x14ac:dyDescent="0.3">
      <c r="A486">
        <v>10</v>
      </c>
      <c r="B486" t="s">
        <v>9</v>
      </c>
      <c r="C486">
        <v>905</v>
      </c>
      <c r="D486">
        <v>2</v>
      </c>
      <c r="E486">
        <v>3</v>
      </c>
      <c r="F486">
        <v>1</v>
      </c>
      <c r="G486">
        <v>54.34</v>
      </c>
    </row>
    <row r="487" spans="1:7" x14ac:dyDescent="0.3">
      <c r="A487">
        <v>10</v>
      </c>
      <c r="B487" t="s">
        <v>9</v>
      </c>
      <c r="C487">
        <v>905</v>
      </c>
      <c r="D487">
        <v>2</v>
      </c>
      <c r="E487">
        <v>3</v>
      </c>
      <c r="F487">
        <v>2</v>
      </c>
      <c r="G487">
        <v>60.24</v>
      </c>
    </row>
    <row r="488" spans="1:7" x14ac:dyDescent="0.3">
      <c r="A488">
        <v>10</v>
      </c>
      <c r="B488" t="s">
        <v>9</v>
      </c>
      <c r="C488">
        <v>905</v>
      </c>
      <c r="D488">
        <v>2</v>
      </c>
      <c r="E488">
        <v>3</v>
      </c>
      <c r="F488">
        <v>3</v>
      </c>
      <c r="G488">
        <v>56.39</v>
      </c>
    </row>
    <row r="489" spans="1:7" x14ac:dyDescent="0.3">
      <c r="A489">
        <v>10</v>
      </c>
      <c r="B489" t="s">
        <v>9</v>
      </c>
      <c r="C489">
        <v>905</v>
      </c>
      <c r="D489">
        <v>2</v>
      </c>
      <c r="E489">
        <v>3</v>
      </c>
      <c r="F489">
        <v>4</v>
      </c>
      <c r="G489">
        <v>58.33</v>
      </c>
    </row>
    <row r="490" spans="1:7" x14ac:dyDescent="0.3">
      <c r="A490">
        <v>10</v>
      </c>
      <c r="B490" t="s">
        <v>9</v>
      </c>
      <c r="C490">
        <v>906</v>
      </c>
      <c r="D490">
        <v>13</v>
      </c>
      <c r="E490">
        <v>2</v>
      </c>
      <c r="F490">
        <v>1</v>
      </c>
      <c r="G490">
        <v>51.26</v>
      </c>
    </row>
    <row r="491" spans="1:7" x14ac:dyDescent="0.3">
      <c r="A491">
        <v>10</v>
      </c>
      <c r="B491" t="s">
        <v>9</v>
      </c>
      <c r="C491">
        <v>906</v>
      </c>
      <c r="D491">
        <v>13</v>
      </c>
      <c r="E491">
        <v>2</v>
      </c>
      <c r="F491">
        <v>2</v>
      </c>
      <c r="G491">
        <v>51.73</v>
      </c>
    </row>
    <row r="492" spans="1:7" x14ac:dyDescent="0.3">
      <c r="A492">
        <v>10</v>
      </c>
      <c r="B492" t="s">
        <v>9</v>
      </c>
      <c r="C492">
        <v>906</v>
      </c>
      <c r="D492">
        <v>13</v>
      </c>
      <c r="E492">
        <v>2</v>
      </c>
      <c r="F492">
        <v>3</v>
      </c>
      <c r="G492">
        <v>51.35</v>
      </c>
    </row>
    <row r="493" spans="1:7" x14ac:dyDescent="0.3">
      <c r="A493">
        <v>10</v>
      </c>
      <c r="B493" t="s">
        <v>9</v>
      </c>
      <c r="C493">
        <v>906</v>
      </c>
      <c r="D493">
        <v>13</v>
      </c>
      <c r="E493">
        <v>2</v>
      </c>
      <c r="F493">
        <v>4</v>
      </c>
      <c r="G493">
        <v>41.85</v>
      </c>
    </row>
    <row r="494" spans="1:7" x14ac:dyDescent="0.3">
      <c r="A494">
        <v>10</v>
      </c>
      <c r="B494" t="s">
        <v>9</v>
      </c>
      <c r="C494">
        <v>907</v>
      </c>
      <c r="D494">
        <v>10</v>
      </c>
      <c r="E494">
        <v>2</v>
      </c>
      <c r="F494">
        <v>1</v>
      </c>
      <c r="G494">
        <v>45.21</v>
      </c>
    </row>
    <row r="495" spans="1:7" x14ac:dyDescent="0.3">
      <c r="A495">
        <v>10</v>
      </c>
      <c r="B495" t="s">
        <v>9</v>
      </c>
      <c r="C495">
        <v>907</v>
      </c>
      <c r="D495">
        <v>10</v>
      </c>
      <c r="E495">
        <v>2</v>
      </c>
      <c r="F495">
        <v>2</v>
      </c>
      <c r="G495">
        <v>55.02</v>
      </c>
    </row>
    <row r="496" spans="1:7" x14ac:dyDescent="0.3">
      <c r="A496">
        <v>10</v>
      </c>
      <c r="B496" t="s">
        <v>9</v>
      </c>
      <c r="C496">
        <v>907</v>
      </c>
      <c r="D496">
        <v>10</v>
      </c>
      <c r="E496">
        <v>2</v>
      </c>
      <c r="F496">
        <v>3</v>
      </c>
      <c r="G496">
        <v>45.35</v>
      </c>
    </row>
    <row r="497" spans="1:7" x14ac:dyDescent="0.3">
      <c r="A497">
        <v>10</v>
      </c>
      <c r="B497" t="s">
        <v>9</v>
      </c>
      <c r="C497">
        <v>907</v>
      </c>
      <c r="D497">
        <v>10</v>
      </c>
      <c r="E497">
        <v>2</v>
      </c>
      <c r="F497">
        <v>4</v>
      </c>
      <c r="G497">
        <v>47.06</v>
      </c>
    </row>
    <row r="498" spans="1:7" x14ac:dyDescent="0.3">
      <c r="A498">
        <v>10</v>
      </c>
      <c r="B498" t="s">
        <v>9</v>
      </c>
      <c r="C498">
        <v>908</v>
      </c>
      <c r="D498">
        <v>3</v>
      </c>
      <c r="E498">
        <v>2</v>
      </c>
      <c r="F498">
        <v>1</v>
      </c>
      <c r="G498">
        <v>43.59</v>
      </c>
    </row>
    <row r="499" spans="1:7" x14ac:dyDescent="0.3">
      <c r="A499">
        <v>10</v>
      </c>
      <c r="B499" t="s">
        <v>9</v>
      </c>
      <c r="C499">
        <v>908</v>
      </c>
      <c r="D499">
        <v>3</v>
      </c>
      <c r="E499">
        <v>2</v>
      </c>
      <c r="F499">
        <v>2</v>
      </c>
      <c r="G499">
        <v>46.03</v>
      </c>
    </row>
    <row r="500" spans="1:7" x14ac:dyDescent="0.3">
      <c r="A500">
        <v>10</v>
      </c>
      <c r="B500" t="s">
        <v>9</v>
      </c>
      <c r="C500">
        <v>908</v>
      </c>
      <c r="D500">
        <v>3</v>
      </c>
      <c r="E500">
        <v>2</v>
      </c>
      <c r="F500">
        <v>3</v>
      </c>
      <c r="G500">
        <v>47.22</v>
      </c>
    </row>
    <row r="501" spans="1:7" x14ac:dyDescent="0.3">
      <c r="A501">
        <v>10</v>
      </c>
      <c r="B501" t="s">
        <v>9</v>
      </c>
      <c r="C501">
        <v>908</v>
      </c>
      <c r="D501">
        <v>3</v>
      </c>
      <c r="E501">
        <v>2</v>
      </c>
      <c r="F501">
        <v>4</v>
      </c>
      <c r="G501">
        <v>51.41</v>
      </c>
    </row>
    <row r="502" spans="1:7" x14ac:dyDescent="0.3">
      <c r="A502">
        <v>10</v>
      </c>
      <c r="B502" t="s">
        <v>9</v>
      </c>
      <c r="C502">
        <v>909</v>
      </c>
      <c r="D502">
        <v>1</v>
      </c>
      <c r="E502">
        <v>1</v>
      </c>
      <c r="F502">
        <v>1</v>
      </c>
      <c r="G502">
        <v>58.19</v>
      </c>
    </row>
    <row r="503" spans="1:7" x14ac:dyDescent="0.3">
      <c r="A503">
        <v>10</v>
      </c>
      <c r="B503" t="s">
        <v>9</v>
      </c>
      <c r="C503">
        <v>909</v>
      </c>
      <c r="D503">
        <v>1</v>
      </c>
      <c r="E503">
        <v>1</v>
      </c>
      <c r="F503">
        <v>2</v>
      </c>
      <c r="G503">
        <v>62.72</v>
      </c>
    </row>
    <row r="504" spans="1:7" x14ac:dyDescent="0.3">
      <c r="A504">
        <v>10</v>
      </c>
      <c r="B504" t="s">
        <v>9</v>
      </c>
      <c r="C504">
        <v>909</v>
      </c>
      <c r="D504">
        <v>1</v>
      </c>
      <c r="E504">
        <v>1</v>
      </c>
      <c r="F504">
        <v>3</v>
      </c>
      <c r="G504">
        <v>66.66</v>
      </c>
    </row>
    <row r="505" spans="1:7" x14ac:dyDescent="0.3">
      <c r="A505">
        <v>10</v>
      </c>
      <c r="B505" t="s">
        <v>9</v>
      </c>
      <c r="C505">
        <v>909</v>
      </c>
      <c r="D505">
        <v>1</v>
      </c>
      <c r="E505">
        <v>1</v>
      </c>
      <c r="F505">
        <v>4</v>
      </c>
      <c r="G505">
        <v>64.66</v>
      </c>
    </row>
    <row r="506" spans="1:7" x14ac:dyDescent="0.3">
      <c r="A506">
        <v>10</v>
      </c>
      <c r="B506" t="s">
        <v>9</v>
      </c>
      <c r="C506">
        <v>910</v>
      </c>
      <c r="D506">
        <v>1</v>
      </c>
      <c r="E506">
        <v>1</v>
      </c>
      <c r="F506">
        <v>1</v>
      </c>
      <c r="G506">
        <v>66.34</v>
      </c>
    </row>
    <row r="507" spans="1:7" x14ac:dyDescent="0.3">
      <c r="A507">
        <v>10</v>
      </c>
      <c r="B507" t="s">
        <v>9</v>
      </c>
      <c r="C507">
        <v>910</v>
      </c>
      <c r="D507">
        <v>1</v>
      </c>
      <c r="E507">
        <v>1</v>
      </c>
      <c r="F507">
        <v>2</v>
      </c>
      <c r="G507">
        <v>60.59</v>
      </c>
    </row>
    <row r="508" spans="1:7" x14ac:dyDescent="0.3">
      <c r="A508">
        <v>10</v>
      </c>
      <c r="B508" t="s">
        <v>9</v>
      </c>
      <c r="C508">
        <v>910</v>
      </c>
      <c r="D508">
        <v>1</v>
      </c>
      <c r="E508">
        <v>1</v>
      </c>
      <c r="F508">
        <v>3</v>
      </c>
      <c r="G508">
        <v>61.95</v>
      </c>
    </row>
    <row r="509" spans="1:7" x14ac:dyDescent="0.3">
      <c r="A509">
        <v>10</v>
      </c>
      <c r="B509" t="s">
        <v>9</v>
      </c>
      <c r="C509">
        <v>910</v>
      </c>
      <c r="D509">
        <v>1</v>
      </c>
      <c r="E509">
        <v>1</v>
      </c>
      <c r="F509">
        <v>4</v>
      </c>
      <c r="G509">
        <v>67.84</v>
      </c>
    </row>
    <row r="510" spans="1:7" x14ac:dyDescent="0.3">
      <c r="A510">
        <v>10</v>
      </c>
      <c r="B510" t="s">
        <v>9</v>
      </c>
      <c r="C510">
        <v>911</v>
      </c>
      <c r="D510">
        <v>1</v>
      </c>
      <c r="E510">
        <v>2</v>
      </c>
      <c r="F510">
        <v>1</v>
      </c>
      <c r="G510">
        <v>55.39</v>
      </c>
    </row>
    <row r="511" spans="1:7" x14ac:dyDescent="0.3">
      <c r="A511">
        <v>10</v>
      </c>
      <c r="B511" t="s">
        <v>9</v>
      </c>
      <c r="C511">
        <v>911</v>
      </c>
      <c r="D511">
        <v>1</v>
      </c>
      <c r="E511">
        <v>2</v>
      </c>
      <c r="F511">
        <v>2</v>
      </c>
      <c r="G511">
        <v>49.16</v>
      </c>
    </row>
    <row r="512" spans="1:7" x14ac:dyDescent="0.3">
      <c r="A512">
        <v>10</v>
      </c>
      <c r="B512" t="s">
        <v>9</v>
      </c>
      <c r="C512">
        <v>911</v>
      </c>
      <c r="D512">
        <v>1</v>
      </c>
      <c r="E512">
        <v>2</v>
      </c>
      <c r="F512">
        <v>3</v>
      </c>
      <c r="G512">
        <v>58.26</v>
      </c>
    </row>
    <row r="513" spans="1:7" x14ac:dyDescent="0.3">
      <c r="A513">
        <v>10</v>
      </c>
      <c r="B513" t="s">
        <v>9</v>
      </c>
      <c r="C513">
        <v>911</v>
      </c>
      <c r="D513">
        <v>1</v>
      </c>
      <c r="E513">
        <v>2</v>
      </c>
      <c r="F513">
        <v>4</v>
      </c>
      <c r="G513">
        <v>48.12</v>
      </c>
    </row>
    <row r="514" spans="1:7" x14ac:dyDescent="0.3">
      <c r="A514">
        <v>10</v>
      </c>
      <c r="B514" t="s">
        <v>9</v>
      </c>
      <c r="C514">
        <v>912</v>
      </c>
      <c r="D514">
        <v>6</v>
      </c>
      <c r="E514">
        <v>2</v>
      </c>
      <c r="F514">
        <v>1</v>
      </c>
      <c r="G514">
        <v>49.98</v>
      </c>
    </row>
    <row r="515" spans="1:7" x14ac:dyDescent="0.3">
      <c r="A515">
        <v>10</v>
      </c>
      <c r="B515" t="s">
        <v>9</v>
      </c>
      <c r="C515">
        <v>912</v>
      </c>
      <c r="D515">
        <v>6</v>
      </c>
      <c r="E515">
        <v>2</v>
      </c>
      <c r="F515">
        <v>2</v>
      </c>
      <c r="G515">
        <v>44.84</v>
      </c>
    </row>
    <row r="516" spans="1:7" x14ac:dyDescent="0.3">
      <c r="A516">
        <v>10</v>
      </c>
      <c r="B516" t="s">
        <v>9</v>
      </c>
      <c r="C516">
        <v>912</v>
      </c>
      <c r="D516">
        <v>6</v>
      </c>
      <c r="E516">
        <v>2</v>
      </c>
      <c r="F516">
        <v>3</v>
      </c>
      <c r="G516">
        <v>55.12</v>
      </c>
    </row>
    <row r="517" spans="1:7" x14ac:dyDescent="0.3">
      <c r="A517">
        <v>10</v>
      </c>
      <c r="B517" t="s">
        <v>9</v>
      </c>
      <c r="C517">
        <v>912</v>
      </c>
      <c r="D517">
        <v>6</v>
      </c>
      <c r="E517">
        <v>2</v>
      </c>
      <c r="F517">
        <v>4</v>
      </c>
      <c r="G517">
        <v>47.36</v>
      </c>
    </row>
    <row r="518" spans="1:7" x14ac:dyDescent="0.3">
      <c r="A518">
        <v>10</v>
      </c>
      <c r="B518" t="s">
        <v>9</v>
      </c>
      <c r="C518">
        <v>913</v>
      </c>
      <c r="D518">
        <v>24</v>
      </c>
      <c r="E518">
        <v>1</v>
      </c>
      <c r="F518">
        <v>1</v>
      </c>
      <c r="G518">
        <v>62.33</v>
      </c>
    </row>
    <row r="519" spans="1:7" x14ac:dyDescent="0.3">
      <c r="A519">
        <v>10</v>
      </c>
      <c r="B519" t="s">
        <v>9</v>
      </c>
      <c r="C519">
        <v>913</v>
      </c>
      <c r="D519">
        <v>24</v>
      </c>
      <c r="E519">
        <v>1</v>
      </c>
      <c r="F519">
        <v>2</v>
      </c>
      <c r="G519">
        <v>53.68</v>
      </c>
    </row>
    <row r="520" spans="1:7" x14ac:dyDescent="0.3">
      <c r="A520">
        <v>10</v>
      </c>
      <c r="B520" t="s">
        <v>9</v>
      </c>
      <c r="C520">
        <v>913</v>
      </c>
      <c r="D520">
        <v>24</v>
      </c>
      <c r="E520">
        <v>1</v>
      </c>
      <c r="F520">
        <v>3</v>
      </c>
      <c r="G520">
        <v>62.37</v>
      </c>
    </row>
    <row r="521" spans="1:7" x14ac:dyDescent="0.3">
      <c r="A521">
        <v>10</v>
      </c>
      <c r="B521" t="s">
        <v>9</v>
      </c>
      <c r="C521">
        <v>913</v>
      </c>
      <c r="D521">
        <v>24</v>
      </c>
      <c r="E521">
        <v>1</v>
      </c>
      <c r="F521">
        <v>4</v>
      </c>
      <c r="G521">
        <v>63.58</v>
      </c>
    </row>
    <row r="522" spans="1:7" x14ac:dyDescent="0.3">
      <c r="A522">
        <v>10</v>
      </c>
      <c r="B522" t="s">
        <v>9</v>
      </c>
      <c r="C522">
        <v>914</v>
      </c>
      <c r="D522">
        <v>9</v>
      </c>
      <c r="E522">
        <v>2</v>
      </c>
      <c r="F522">
        <v>1</v>
      </c>
      <c r="G522">
        <v>44.7</v>
      </c>
    </row>
    <row r="523" spans="1:7" x14ac:dyDescent="0.3">
      <c r="A523">
        <v>10</v>
      </c>
      <c r="B523" t="s">
        <v>9</v>
      </c>
      <c r="C523">
        <v>914</v>
      </c>
      <c r="D523">
        <v>9</v>
      </c>
      <c r="E523">
        <v>2</v>
      </c>
      <c r="F523">
        <v>2</v>
      </c>
      <c r="G523">
        <v>43.44</v>
      </c>
    </row>
    <row r="524" spans="1:7" x14ac:dyDescent="0.3">
      <c r="A524">
        <v>10</v>
      </c>
      <c r="B524" t="s">
        <v>9</v>
      </c>
      <c r="C524">
        <v>914</v>
      </c>
      <c r="D524">
        <v>9</v>
      </c>
      <c r="E524">
        <v>2</v>
      </c>
      <c r="F524">
        <v>3</v>
      </c>
      <c r="G524">
        <v>52.36</v>
      </c>
    </row>
    <row r="525" spans="1:7" x14ac:dyDescent="0.3">
      <c r="A525">
        <v>10</v>
      </c>
      <c r="B525" t="s">
        <v>9</v>
      </c>
      <c r="C525">
        <v>914</v>
      </c>
      <c r="D525">
        <v>9</v>
      </c>
      <c r="E525">
        <v>2</v>
      </c>
      <c r="F525">
        <v>4</v>
      </c>
      <c r="G525">
        <v>45.9</v>
      </c>
    </row>
    <row r="526" spans="1:7" x14ac:dyDescent="0.3">
      <c r="A526">
        <v>10</v>
      </c>
      <c r="B526" t="s">
        <v>9</v>
      </c>
      <c r="C526">
        <v>915</v>
      </c>
      <c r="D526">
        <v>3</v>
      </c>
      <c r="E526">
        <v>1</v>
      </c>
      <c r="F526">
        <v>1</v>
      </c>
      <c r="G526">
        <v>53.51</v>
      </c>
    </row>
    <row r="527" spans="1:7" x14ac:dyDescent="0.3">
      <c r="A527">
        <v>10</v>
      </c>
      <c r="B527" t="s">
        <v>9</v>
      </c>
      <c r="C527">
        <v>915</v>
      </c>
      <c r="D527">
        <v>3</v>
      </c>
      <c r="E527">
        <v>1</v>
      </c>
      <c r="F527">
        <v>2</v>
      </c>
      <c r="G527">
        <v>49.76</v>
      </c>
    </row>
    <row r="528" spans="1:7" x14ac:dyDescent="0.3">
      <c r="A528">
        <v>10</v>
      </c>
      <c r="B528" t="s">
        <v>9</v>
      </c>
      <c r="C528">
        <v>915</v>
      </c>
      <c r="D528">
        <v>3</v>
      </c>
      <c r="E528">
        <v>1</v>
      </c>
      <c r="F528">
        <v>3</v>
      </c>
      <c r="G528">
        <v>68.31</v>
      </c>
    </row>
    <row r="529" spans="1:7" x14ac:dyDescent="0.3">
      <c r="A529">
        <v>10</v>
      </c>
      <c r="B529" t="s">
        <v>9</v>
      </c>
      <c r="C529">
        <v>915</v>
      </c>
      <c r="D529">
        <v>3</v>
      </c>
      <c r="E529">
        <v>1</v>
      </c>
      <c r="F529">
        <v>4</v>
      </c>
      <c r="G529">
        <v>66.099999999999994</v>
      </c>
    </row>
    <row r="530" spans="1:7" x14ac:dyDescent="0.3">
      <c r="A530">
        <v>10</v>
      </c>
      <c r="B530" t="s">
        <v>9</v>
      </c>
      <c r="C530">
        <v>916</v>
      </c>
      <c r="D530">
        <v>7</v>
      </c>
      <c r="E530">
        <v>2</v>
      </c>
      <c r="F530">
        <v>1</v>
      </c>
      <c r="G530">
        <v>43.61</v>
      </c>
    </row>
    <row r="531" spans="1:7" x14ac:dyDescent="0.3">
      <c r="A531">
        <v>10</v>
      </c>
      <c r="B531" t="s">
        <v>9</v>
      </c>
      <c r="C531">
        <v>916</v>
      </c>
      <c r="D531">
        <v>7</v>
      </c>
      <c r="E531">
        <v>2</v>
      </c>
      <c r="F531">
        <v>2</v>
      </c>
      <c r="G531">
        <v>46.2</v>
      </c>
    </row>
    <row r="532" spans="1:7" x14ac:dyDescent="0.3">
      <c r="A532">
        <v>10</v>
      </c>
      <c r="B532" t="s">
        <v>9</v>
      </c>
      <c r="C532">
        <v>916</v>
      </c>
      <c r="D532">
        <v>7</v>
      </c>
      <c r="E532">
        <v>2</v>
      </c>
      <c r="F532">
        <v>3</v>
      </c>
      <c r="G532">
        <v>51.52</v>
      </c>
    </row>
    <row r="533" spans="1:7" x14ac:dyDescent="0.3">
      <c r="A533">
        <v>10</v>
      </c>
      <c r="B533" t="s">
        <v>9</v>
      </c>
      <c r="C533">
        <v>916</v>
      </c>
      <c r="D533">
        <v>7</v>
      </c>
      <c r="E533">
        <v>2</v>
      </c>
      <c r="F533">
        <v>4</v>
      </c>
      <c r="G533">
        <v>49.71</v>
      </c>
    </row>
    <row r="534" spans="1:7" x14ac:dyDescent="0.3">
      <c r="A534">
        <v>10</v>
      </c>
      <c r="B534" t="s">
        <v>9</v>
      </c>
      <c r="C534">
        <v>917</v>
      </c>
      <c r="D534">
        <v>14</v>
      </c>
      <c r="E534">
        <v>3</v>
      </c>
      <c r="F534">
        <v>1</v>
      </c>
      <c r="G534">
        <v>53.5</v>
      </c>
    </row>
    <row r="535" spans="1:7" x14ac:dyDescent="0.3">
      <c r="A535">
        <v>10</v>
      </c>
      <c r="B535" t="s">
        <v>9</v>
      </c>
      <c r="C535">
        <v>917</v>
      </c>
      <c r="D535">
        <v>14</v>
      </c>
      <c r="E535">
        <v>3</v>
      </c>
      <c r="F535">
        <v>2</v>
      </c>
      <c r="G535">
        <v>56.34</v>
      </c>
    </row>
    <row r="536" spans="1:7" x14ac:dyDescent="0.3">
      <c r="A536">
        <v>10</v>
      </c>
      <c r="B536" t="s">
        <v>9</v>
      </c>
      <c r="C536">
        <v>917</v>
      </c>
      <c r="D536">
        <v>14</v>
      </c>
      <c r="E536">
        <v>3</v>
      </c>
      <c r="F536">
        <v>3</v>
      </c>
      <c r="G536">
        <v>51.83</v>
      </c>
    </row>
    <row r="537" spans="1:7" x14ac:dyDescent="0.3">
      <c r="A537">
        <v>10</v>
      </c>
      <c r="B537" t="s">
        <v>9</v>
      </c>
      <c r="C537">
        <v>917</v>
      </c>
      <c r="D537">
        <v>14</v>
      </c>
      <c r="E537">
        <v>3</v>
      </c>
      <c r="F537">
        <v>4</v>
      </c>
      <c r="G537">
        <v>50.2</v>
      </c>
    </row>
    <row r="538" spans="1:7" x14ac:dyDescent="0.3">
      <c r="A538">
        <v>10</v>
      </c>
      <c r="B538" t="s">
        <v>9</v>
      </c>
      <c r="C538">
        <v>918</v>
      </c>
      <c r="D538">
        <v>6</v>
      </c>
      <c r="E538">
        <v>1</v>
      </c>
      <c r="F538">
        <v>1</v>
      </c>
      <c r="G538">
        <v>49.62</v>
      </c>
    </row>
    <row r="539" spans="1:7" x14ac:dyDescent="0.3">
      <c r="A539">
        <v>10</v>
      </c>
      <c r="B539" t="s">
        <v>9</v>
      </c>
      <c r="C539">
        <v>918</v>
      </c>
      <c r="D539">
        <v>6</v>
      </c>
      <c r="E539">
        <v>1</v>
      </c>
      <c r="F539">
        <v>2</v>
      </c>
      <c r="G539">
        <v>62.54</v>
      </c>
    </row>
    <row r="540" spans="1:7" x14ac:dyDescent="0.3">
      <c r="A540">
        <v>10</v>
      </c>
      <c r="B540" t="s">
        <v>9</v>
      </c>
      <c r="C540">
        <v>918</v>
      </c>
      <c r="D540">
        <v>6</v>
      </c>
      <c r="E540">
        <v>1</v>
      </c>
      <c r="F540">
        <v>3</v>
      </c>
      <c r="G540">
        <v>50.11</v>
      </c>
    </row>
    <row r="541" spans="1:7" x14ac:dyDescent="0.3">
      <c r="A541">
        <v>10</v>
      </c>
      <c r="B541" t="s">
        <v>9</v>
      </c>
      <c r="C541">
        <v>918</v>
      </c>
      <c r="D541">
        <v>6</v>
      </c>
      <c r="E541">
        <v>1</v>
      </c>
      <c r="F541">
        <v>4</v>
      </c>
      <c r="G541">
        <v>61.63</v>
      </c>
    </row>
    <row r="542" spans="1:7" x14ac:dyDescent="0.3">
      <c r="A542">
        <v>10</v>
      </c>
      <c r="B542" t="s">
        <v>9</v>
      </c>
      <c r="C542">
        <v>919</v>
      </c>
      <c r="D542">
        <v>2</v>
      </c>
      <c r="E542">
        <v>1</v>
      </c>
      <c r="F542">
        <v>1</v>
      </c>
      <c r="G542">
        <v>59.87</v>
      </c>
    </row>
    <row r="543" spans="1:7" x14ac:dyDescent="0.3">
      <c r="A543">
        <v>10</v>
      </c>
      <c r="B543" t="s">
        <v>9</v>
      </c>
      <c r="C543">
        <v>919</v>
      </c>
      <c r="D543">
        <v>2</v>
      </c>
      <c r="E543">
        <v>1</v>
      </c>
      <c r="F543">
        <v>2</v>
      </c>
      <c r="G543">
        <v>62.99</v>
      </c>
    </row>
    <row r="544" spans="1:7" x14ac:dyDescent="0.3">
      <c r="A544">
        <v>10</v>
      </c>
      <c r="B544" t="s">
        <v>9</v>
      </c>
      <c r="C544">
        <v>919</v>
      </c>
      <c r="D544">
        <v>2</v>
      </c>
      <c r="E544">
        <v>1</v>
      </c>
      <c r="F544">
        <v>3</v>
      </c>
      <c r="G544">
        <v>57.2</v>
      </c>
    </row>
    <row r="545" spans="1:7" x14ac:dyDescent="0.3">
      <c r="A545">
        <v>10</v>
      </c>
      <c r="B545" t="s">
        <v>9</v>
      </c>
      <c r="C545">
        <v>919</v>
      </c>
      <c r="D545">
        <v>2</v>
      </c>
      <c r="E545">
        <v>1</v>
      </c>
      <c r="F545">
        <v>4</v>
      </c>
      <c r="G545">
        <v>64.34</v>
      </c>
    </row>
    <row r="546" spans="1:7" x14ac:dyDescent="0.3">
      <c r="A546">
        <v>10</v>
      </c>
      <c r="B546" t="s">
        <v>9</v>
      </c>
      <c r="C546">
        <v>920</v>
      </c>
      <c r="D546">
        <v>14</v>
      </c>
      <c r="E546">
        <v>2</v>
      </c>
      <c r="F546">
        <v>1</v>
      </c>
      <c r="G546">
        <v>50.2</v>
      </c>
    </row>
    <row r="547" spans="1:7" x14ac:dyDescent="0.3">
      <c r="A547">
        <v>10</v>
      </c>
      <c r="B547" t="s">
        <v>9</v>
      </c>
      <c r="C547">
        <v>920</v>
      </c>
      <c r="D547">
        <v>14</v>
      </c>
      <c r="E547">
        <v>2</v>
      </c>
      <c r="F547">
        <v>2</v>
      </c>
      <c r="G547">
        <v>45.75</v>
      </c>
    </row>
    <row r="548" spans="1:7" x14ac:dyDescent="0.3">
      <c r="A548">
        <v>10</v>
      </c>
      <c r="B548" t="s">
        <v>9</v>
      </c>
      <c r="C548">
        <v>920</v>
      </c>
      <c r="D548">
        <v>14</v>
      </c>
      <c r="E548">
        <v>2</v>
      </c>
      <c r="F548">
        <v>3</v>
      </c>
      <c r="G548">
        <v>44.29</v>
      </c>
    </row>
    <row r="549" spans="1:7" x14ac:dyDescent="0.3">
      <c r="A549">
        <v>10</v>
      </c>
      <c r="B549" t="s">
        <v>9</v>
      </c>
      <c r="C549">
        <v>920</v>
      </c>
      <c r="D549">
        <v>14</v>
      </c>
      <c r="E549">
        <v>2</v>
      </c>
      <c r="F549">
        <v>4</v>
      </c>
      <c r="G549">
        <v>49.41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G549"/>
  <sheetViews>
    <sheetView workbookViewId="0"/>
  </sheetViews>
  <sheetFormatPr defaultRowHeight="14.4" x14ac:dyDescent="0.3"/>
  <cols>
    <col min="1" max="1" width="12.33203125" customWidth="1"/>
    <col min="2" max="3" width="15.109375" customWidth="1"/>
    <col min="4" max="4" width="12.5546875" customWidth="1"/>
    <col min="5" max="6" width="13.88671875" customWidth="1"/>
  </cols>
  <sheetData>
    <row r="1" spans="1:7" x14ac:dyDescent="0.3">
      <c r="A1" s="1" t="s">
        <v>0</v>
      </c>
      <c r="B1" s="1" t="s">
        <v>1</v>
      </c>
      <c r="C1" s="1" t="s">
        <v>2</v>
      </c>
      <c r="D1" s="1" t="s">
        <v>3</v>
      </c>
      <c r="E1" s="1" t="s">
        <v>4</v>
      </c>
      <c r="F1" s="1" t="s">
        <v>5</v>
      </c>
      <c r="G1" s="1" t="s">
        <v>6</v>
      </c>
    </row>
    <row r="2" spans="1:7" x14ac:dyDescent="0.3">
      <c r="A2">
        <v>1</v>
      </c>
      <c r="B2" t="s">
        <v>7</v>
      </c>
      <c r="C2">
        <v>1</v>
      </c>
      <c r="D2">
        <v>4</v>
      </c>
      <c r="E2">
        <v>3</v>
      </c>
      <c r="F2">
        <v>1</v>
      </c>
      <c r="G2">
        <v>33.729999999999997</v>
      </c>
    </row>
    <row r="3" spans="1:7" x14ac:dyDescent="0.3">
      <c r="A3">
        <v>1</v>
      </c>
      <c r="B3" t="s">
        <v>7</v>
      </c>
      <c r="C3">
        <v>1</v>
      </c>
      <c r="D3">
        <v>4</v>
      </c>
      <c r="E3">
        <v>3</v>
      </c>
      <c r="F3">
        <v>2</v>
      </c>
      <c r="G3">
        <v>35.67</v>
      </c>
    </row>
    <row r="4" spans="1:7" x14ac:dyDescent="0.3">
      <c r="A4">
        <v>1</v>
      </c>
      <c r="B4" t="s">
        <v>7</v>
      </c>
      <c r="C4">
        <v>1</v>
      </c>
      <c r="D4">
        <v>4</v>
      </c>
      <c r="E4">
        <v>3</v>
      </c>
      <c r="F4">
        <v>3</v>
      </c>
      <c r="G4">
        <v>29.03</v>
      </c>
    </row>
    <row r="5" spans="1:7" x14ac:dyDescent="0.3">
      <c r="A5">
        <v>1</v>
      </c>
      <c r="B5" t="s">
        <v>7</v>
      </c>
      <c r="C5">
        <v>1</v>
      </c>
      <c r="D5">
        <v>4</v>
      </c>
      <c r="E5">
        <v>3</v>
      </c>
      <c r="F5">
        <v>4</v>
      </c>
      <c r="G5">
        <v>39.25</v>
      </c>
    </row>
    <row r="6" spans="1:7" x14ac:dyDescent="0.3">
      <c r="A6">
        <v>1</v>
      </c>
      <c r="B6" t="s">
        <v>7</v>
      </c>
      <c r="C6">
        <v>2</v>
      </c>
      <c r="D6">
        <v>5</v>
      </c>
      <c r="E6">
        <v>2</v>
      </c>
      <c r="F6">
        <v>1</v>
      </c>
      <c r="G6">
        <v>27.81</v>
      </c>
    </row>
    <row r="7" spans="1:7" x14ac:dyDescent="0.3">
      <c r="A7">
        <v>1</v>
      </c>
      <c r="B7" t="s">
        <v>7</v>
      </c>
      <c r="C7">
        <v>2</v>
      </c>
      <c r="D7">
        <v>5</v>
      </c>
      <c r="E7">
        <v>2</v>
      </c>
      <c r="F7">
        <v>2</v>
      </c>
      <c r="G7">
        <v>34.67</v>
      </c>
    </row>
    <row r="8" spans="1:7" x14ac:dyDescent="0.3">
      <c r="A8">
        <v>1</v>
      </c>
      <c r="B8" t="s">
        <v>7</v>
      </c>
      <c r="C8">
        <v>2</v>
      </c>
      <c r="D8">
        <v>5</v>
      </c>
      <c r="E8">
        <v>2</v>
      </c>
      <c r="F8">
        <v>3</v>
      </c>
      <c r="G8">
        <v>27.98</v>
      </c>
    </row>
    <row r="9" spans="1:7" x14ac:dyDescent="0.3">
      <c r="A9">
        <v>1</v>
      </c>
      <c r="B9" t="s">
        <v>7</v>
      </c>
      <c r="C9">
        <v>2</v>
      </c>
      <c r="D9">
        <v>5</v>
      </c>
      <c r="E9">
        <v>2</v>
      </c>
      <c r="F9">
        <v>4</v>
      </c>
      <c r="G9">
        <v>27.72</v>
      </c>
    </row>
    <row r="10" spans="1:7" x14ac:dyDescent="0.3">
      <c r="A10">
        <v>1</v>
      </c>
      <c r="B10" t="s">
        <v>7</v>
      </c>
      <c r="C10">
        <v>3</v>
      </c>
      <c r="D10">
        <v>12</v>
      </c>
      <c r="E10">
        <v>1</v>
      </c>
      <c r="F10">
        <v>1</v>
      </c>
      <c r="G10">
        <v>44.54</v>
      </c>
    </row>
    <row r="11" spans="1:7" x14ac:dyDescent="0.3">
      <c r="A11">
        <v>1</v>
      </c>
      <c r="B11" t="s">
        <v>7</v>
      </c>
      <c r="C11">
        <v>3</v>
      </c>
      <c r="D11">
        <v>12</v>
      </c>
      <c r="E11">
        <v>1</v>
      </c>
      <c r="F11">
        <v>2</v>
      </c>
      <c r="G11">
        <v>37.94</v>
      </c>
    </row>
    <row r="12" spans="1:7" x14ac:dyDescent="0.3">
      <c r="A12">
        <v>1</v>
      </c>
      <c r="B12" t="s">
        <v>7</v>
      </c>
      <c r="C12">
        <v>3</v>
      </c>
      <c r="D12">
        <v>12</v>
      </c>
      <c r="E12">
        <v>1</v>
      </c>
      <c r="F12">
        <v>3</v>
      </c>
      <c r="G12">
        <v>45.49</v>
      </c>
    </row>
    <row r="13" spans="1:7" x14ac:dyDescent="0.3">
      <c r="A13">
        <v>1</v>
      </c>
      <c r="B13" t="s">
        <v>7</v>
      </c>
      <c r="C13">
        <v>3</v>
      </c>
      <c r="D13">
        <v>12</v>
      </c>
      <c r="E13">
        <v>1</v>
      </c>
      <c r="F13">
        <v>4</v>
      </c>
      <c r="G13">
        <v>34.75</v>
      </c>
    </row>
    <row r="14" spans="1:7" x14ac:dyDescent="0.3">
      <c r="A14">
        <v>1</v>
      </c>
      <c r="B14" t="s">
        <v>7</v>
      </c>
      <c r="C14">
        <v>4</v>
      </c>
      <c r="D14">
        <v>1</v>
      </c>
      <c r="E14">
        <v>2</v>
      </c>
      <c r="F14">
        <v>1</v>
      </c>
      <c r="G14">
        <v>39.28</v>
      </c>
    </row>
    <row r="15" spans="1:7" x14ac:dyDescent="0.3">
      <c r="A15">
        <v>1</v>
      </c>
      <c r="B15" t="s">
        <v>7</v>
      </c>
      <c r="C15">
        <v>4</v>
      </c>
      <c r="D15">
        <v>1</v>
      </c>
      <c r="E15">
        <v>2</v>
      </c>
      <c r="F15">
        <v>2</v>
      </c>
      <c r="G15">
        <v>39.799999999999997</v>
      </c>
    </row>
    <row r="16" spans="1:7" x14ac:dyDescent="0.3">
      <c r="A16">
        <v>1</v>
      </c>
      <c r="B16" t="s">
        <v>7</v>
      </c>
      <c r="C16">
        <v>4</v>
      </c>
      <c r="D16">
        <v>1</v>
      </c>
      <c r="E16">
        <v>2</v>
      </c>
      <c r="F16">
        <v>3</v>
      </c>
      <c r="G16">
        <v>24.77</v>
      </c>
    </row>
    <row r="17" spans="1:7" x14ac:dyDescent="0.3">
      <c r="A17">
        <v>1</v>
      </c>
      <c r="B17" t="s">
        <v>7</v>
      </c>
      <c r="C17">
        <v>4</v>
      </c>
      <c r="D17">
        <v>1</v>
      </c>
      <c r="E17">
        <v>2</v>
      </c>
      <c r="F17">
        <v>4</v>
      </c>
      <c r="G17">
        <v>30.98</v>
      </c>
    </row>
    <row r="18" spans="1:7" x14ac:dyDescent="0.3">
      <c r="A18">
        <v>1</v>
      </c>
      <c r="B18" t="s">
        <v>7</v>
      </c>
      <c r="C18">
        <v>5</v>
      </c>
      <c r="D18">
        <v>10</v>
      </c>
      <c r="E18">
        <v>2</v>
      </c>
      <c r="F18">
        <v>1</v>
      </c>
      <c r="G18">
        <v>30.37</v>
      </c>
    </row>
    <row r="19" spans="1:7" x14ac:dyDescent="0.3">
      <c r="A19">
        <v>1</v>
      </c>
      <c r="B19" t="s">
        <v>7</v>
      </c>
      <c r="C19">
        <v>5</v>
      </c>
      <c r="D19">
        <v>10</v>
      </c>
      <c r="E19">
        <v>2</v>
      </c>
      <c r="F19">
        <v>2</v>
      </c>
      <c r="G19">
        <v>24.82</v>
      </c>
    </row>
    <row r="20" spans="1:7" x14ac:dyDescent="0.3">
      <c r="A20">
        <v>1</v>
      </c>
      <c r="B20" t="s">
        <v>7</v>
      </c>
      <c r="C20">
        <v>5</v>
      </c>
      <c r="D20">
        <v>10</v>
      </c>
      <c r="E20">
        <v>2</v>
      </c>
      <c r="F20">
        <v>3</v>
      </c>
      <c r="G20">
        <v>37.47</v>
      </c>
    </row>
    <row r="21" spans="1:7" x14ac:dyDescent="0.3">
      <c r="A21">
        <v>1</v>
      </c>
      <c r="B21" t="s">
        <v>7</v>
      </c>
      <c r="C21">
        <v>5</v>
      </c>
      <c r="D21">
        <v>10</v>
      </c>
      <c r="E21">
        <v>2</v>
      </c>
      <c r="F21">
        <v>4</v>
      </c>
      <c r="G21">
        <v>23.35</v>
      </c>
    </row>
    <row r="22" spans="1:7" x14ac:dyDescent="0.3">
      <c r="A22">
        <v>1</v>
      </c>
      <c r="B22" t="s">
        <v>7</v>
      </c>
      <c r="C22">
        <v>6</v>
      </c>
      <c r="D22">
        <v>10</v>
      </c>
      <c r="E22">
        <v>3</v>
      </c>
      <c r="F22">
        <v>1</v>
      </c>
      <c r="G22">
        <v>32.9</v>
      </c>
    </row>
    <row r="23" spans="1:7" x14ac:dyDescent="0.3">
      <c r="A23">
        <v>1</v>
      </c>
      <c r="B23" t="s">
        <v>7</v>
      </c>
      <c r="C23">
        <v>6</v>
      </c>
      <c r="D23">
        <v>10</v>
      </c>
      <c r="E23">
        <v>3</v>
      </c>
      <c r="F23">
        <v>2</v>
      </c>
      <c r="G23">
        <v>22.18</v>
      </c>
    </row>
    <row r="24" spans="1:7" x14ac:dyDescent="0.3">
      <c r="A24">
        <v>1</v>
      </c>
      <c r="B24" t="s">
        <v>7</v>
      </c>
      <c r="C24">
        <v>6</v>
      </c>
      <c r="D24">
        <v>10</v>
      </c>
      <c r="E24">
        <v>3</v>
      </c>
      <c r="F24">
        <v>3</v>
      </c>
      <c r="G24">
        <v>42.98</v>
      </c>
    </row>
    <row r="25" spans="1:7" x14ac:dyDescent="0.3">
      <c r="A25">
        <v>1</v>
      </c>
      <c r="B25" t="s">
        <v>7</v>
      </c>
      <c r="C25">
        <v>6</v>
      </c>
      <c r="D25">
        <v>10</v>
      </c>
      <c r="E25">
        <v>3</v>
      </c>
      <c r="F25">
        <v>4</v>
      </c>
      <c r="G25">
        <v>26.68</v>
      </c>
    </row>
    <row r="26" spans="1:7" x14ac:dyDescent="0.3">
      <c r="A26">
        <v>1</v>
      </c>
      <c r="B26" t="s">
        <v>7</v>
      </c>
      <c r="C26">
        <v>7</v>
      </c>
      <c r="D26">
        <v>15</v>
      </c>
      <c r="E26">
        <v>1</v>
      </c>
      <c r="F26">
        <v>1</v>
      </c>
      <c r="G26">
        <v>42.92</v>
      </c>
    </row>
    <row r="27" spans="1:7" x14ac:dyDescent="0.3">
      <c r="A27">
        <v>1</v>
      </c>
      <c r="B27" t="s">
        <v>7</v>
      </c>
      <c r="C27">
        <v>7</v>
      </c>
      <c r="D27">
        <v>15</v>
      </c>
      <c r="E27">
        <v>1</v>
      </c>
      <c r="F27">
        <v>2</v>
      </c>
      <c r="G27">
        <v>42.16</v>
      </c>
    </row>
    <row r="28" spans="1:7" x14ac:dyDescent="0.3">
      <c r="A28">
        <v>1</v>
      </c>
      <c r="B28" t="s">
        <v>7</v>
      </c>
      <c r="C28">
        <v>7</v>
      </c>
      <c r="D28">
        <v>15</v>
      </c>
      <c r="E28">
        <v>1</v>
      </c>
      <c r="F28">
        <v>3</v>
      </c>
      <c r="G28">
        <v>51.72</v>
      </c>
    </row>
    <row r="29" spans="1:7" x14ac:dyDescent="0.3">
      <c r="A29">
        <v>1</v>
      </c>
      <c r="B29" t="s">
        <v>7</v>
      </c>
      <c r="C29">
        <v>7</v>
      </c>
      <c r="D29">
        <v>15</v>
      </c>
      <c r="E29">
        <v>1</v>
      </c>
      <c r="F29">
        <v>4</v>
      </c>
      <c r="G29">
        <v>36.17</v>
      </c>
    </row>
    <row r="30" spans="1:7" x14ac:dyDescent="0.3">
      <c r="A30">
        <v>1</v>
      </c>
      <c r="B30" t="s">
        <v>7</v>
      </c>
      <c r="C30">
        <v>8</v>
      </c>
      <c r="D30">
        <v>10</v>
      </c>
      <c r="E30">
        <v>2</v>
      </c>
      <c r="F30">
        <v>1</v>
      </c>
      <c r="G30">
        <v>30.08</v>
      </c>
    </row>
    <row r="31" spans="1:7" x14ac:dyDescent="0.3">
      <c r="A31">
        <v>1</v>
      </c>
      <c r="B31" t="s">
        <v>7</v>
      </c>
      <c r="C31">
        <v>8</v>
      </c>
      <c r="D31">
        <v>10</v>
      </c>
      <c r="E31">
        <v>2</v>
      </c>
      <c r="F31">
        <v>2</v>
      </c>
      <c r="G31">
        <v>28.62</v>
      </c>
    </row>
    <row r="32" spans="1:7" x14ac:dyDescent="0.3">
      <c r="A32">
        <v>1</v>
      </c>
      <c r="B32" t="s">
        <v>7</v>
      </c>
      <c r="C32">
        <v>8</v>
      </c>
      <c r="D32">
        <v>10</v>
      </c>
      <c r="E32">
        <v>2</v>
      </c>
      <c r="F32">
        <v>3</v>
      </c>
      <c r="G32">
        <v>25.4</v>
      </c>
    </row>
    <row r="33" spans="1:7" x14ac:dyDescent="0.3">
      <c r="A33">
        <v>1</v>
      </c>
      <c r="B33" t="s">
        <v>7</v>
      </c>
      <c r="C33">
        <v>8</v>
      </c>
      <c r="D33">
        <v>10</v>
      </c>
      <c r="E33">
        <v>2</v>
      </c>
      <c r="F33">
        <v>4</v>
      </c>
      <c r="G33">
        <v>27.26</v>
      </c>
    </row>
    <row r="34" spans="1:7" x14ac:dyDescent="0.3">
      <c r="A34">
        <v>1</v>
      </c>
      <c r="B34" t="s">
        <v>7</v>
      </c>
      <c r="C34">
        <v>9</v>
      </c>
      <c r="D34">
        <v>6</v>
      </c>
      <c r="E34">
        <v>1</v>
      </c>
      <c r="F34">
        <v>1</v>
      </c>
      <c r="G34">
        <v>37.409999999999997</v>
      </c>
    </row>
    <row r="35" spans="1:7" x14ac:dyDescent="0.3">
      <c r="A35">
        <v>1</v>
      </c>
      <c r="B35" t="s">
        <v>7</v>
      </c>
      <c r="C35">
        <v>9</v>
      </c>
      <c r="D35">
        <v>6</v>
      </c>
      <c r="E35">
        <v>1</v>
      </c>
      <c r="F35">
        <v>2</v>
      </c>
      <c r="G35">
        <v>38.64</v>
      </c>
    </row>
    <row r="36" spans="1:7" x14ac:dyDescent="0.3">
      <c r="A36">
        <v>1</v>
      </c>
      <c r="B36" t="s">
        <v>7</v>
      </c>
      <c r="C36">
        <v>9</v>
      </c>
      <c r="D36">
        <v>6</v>
      </c>
      <c r="E36">
        <v>1</v>
      </c>
      <c r="F36">
        <v>3</v>
      </c>
      <c r="G36">
        <v>40.9</v>
      </c>
    </row>
    <row r="37" spans="1:7" x14ac:dyDescent="0.3">
      <c r="A37">
        <v>1</v>
      </c>
      <c r="B37" t="s">
        <v>7</v>
      </c>
      <c r="C37">
        <v>9</v>
      </c>
      <c r="D37">
        <v>6</v>
      </c>
      <c r="E37">
        <v>1</v>
      </c>
      <c r="F37">
        <v>4</v>
      </c>
      <c r="G37">
        <v>41.11</v>
      </c>
    </row>
    <row r="38" spans="1:7" x14ac:dyDescent="0.3">
      <c r="A38">
        <v>1</v>
      </c>
      <c r="B38" t="s">
        <v>7</v>
      </c>
      <c r="C38">
        <v>10</v>
      </c>
      <c r="D38">
        <v>5</v>
      </c>
      <c r="E38">
        <v>2</v>
      </c>
      <c r="F38">
        <v>1</v>
      </c>
      <c r="G38">
        <v>34.270000000000003</v>
      </c>
    </row>
    <row r="39" spans="1:7" x14ac:dyDescent="0.3">
      <c r="A39">
        <v>1</v>
      </c>
      <c r="B39" t="s">
        <v>7</v>
      </c>
      <c r="C39">
        <v>10</v>
      </c>
      <c r="D39">
        <v>5</v>
      </c>
      <c r="E39">
        <v>2</v>
      </c>
      <c r="F39">
        <v>2</v>
      </c>
      <c r="G39">
        <v>29.3</v>
      </c>
    </row>
    <row r="40" spans="1:7" x14ac:dyDescent="0.3">
      <c r="A40">
        <v>1</v>
      </c>
      <c r="B40" t="s">
        <v>7</v>
      </c>
      <c r="C40">
        <v>10</v>
      </c>
      <c r="D40">
        <v>5</v>
      </c>
      <c r="E40">
        <v>2</v>
      </c>
      <c r="F40">
        <v>3</v>
      </c>
      <c r="G40">
        <v>23.93</v>
      </c>
    </row>
    <row r="41" spans="1:7" x14ac:dyDescent="0.3">
      <c r="A41">
        <v>1</v>
      </c>
      <c r="B41" t="s">
        <v>7</v>
      </c>
      <c r="C41">
        <v>10</v>
      </c>
      <c r="D41">
        <v>5</v>
      </c>
      <c r="E41">
        <v>2</v>
      </c>
      <c r="F41">
        <v>4</v>
      </c>
      <c r="G41">
        <v>35.159999999999997</v>
      </c>
    </row>
    <row r="42" spans="1:7" x14ac:dyDescent="0.3">
      <c r="A42">
        <v>1</v>
      </c>
      <c r="B42" t="s">
        <v>7</v>
      </c>
      <c r="C42">
        <v>11</v>
      </c>
      <c r="D42">
        <v>5</v>
      </c>
      <c r="E42">
        <v>3</v>
      </c>
      <c r="F42">
        <v>1</v>
      </c>
      <c r="G42">
        <v>33.42</v>
      </c>
    </row>
    <row r="43" spans="1:7" x14ac:dyDescent="0.3">
      <c r="A43">
        <v>1</v>
      </c>
      <c r="B43" t="s">
        <v>7</v>
      </c>
      <c r="C43">
        <v>11</v>
      </c>
      <c r="D43">
        <v>5</v>
      </c>
      <c r="E43">
        <v>3</v>
      </c>
      <c r="F43">
        <v>2</v>
      </c>
      <c r="G43">
        <v>37.93</v>
      </c>
    </row>
    <row r="44" spans="1:7" x14ac:dyDescent="0.3">
      <c r="A44">
        <v>1</v>
      </c>
      <c r="B44" t="s">
        <v>7</v>
      </c>
      <c r="C44">
        <v>11</v>
      </c>
      <c r="D44">
        <v>5</v>
      </c>
      <c r="E44">
        <v>3</v>
      </c>
      <c r="F44">
        <v>3</v>
      </c>
      <c r="G44">
        <v>33.85</v>
      </c>
    </row>
    <row r="45" spans="1:7" x14ac:dyDescent="0.3">
      <c r="A45">
        <v>1</v>
      </c>
      <c r="B45" t="s">
        <v>7</v>
      </c>
      <c r="C45">
        <v>11</v>
      </c>
      <c r="D45">
        <v>5</v>
      </c>
      <c r="E45">
        <v>3</v>
      </c>
      <c r="F45">
        <v>4</v>
      </c>
      <c r="G45">
        <v>40.25</v>
      </c>
    </row>
    <row r="46" spans="1:7" x14ac:dyDescent="0.3">
      <c r="A46">
        <v>1</v>
      </c>
      <c r="B46" t="s">
        <v>7</v>
      </c>
      <c r="C46">
        <v>12</v>
      </c>
      <c r="D46">
        <v>12</v>
      </c>
      <c r="E46">
        <v>1</v>
      </c>
      <c r="F46">
        <v>1</v>
      </c>
      <c r="G46">
        <v>35.85</v>
      </c>
    </row>
    <row r="47" spans="1:7" x14ac:dyDescent="0.3">
      <c r="A47">
        <v>1</v>
      </c>
      <c r="B47" t="s">
        <v>7</v>
      </c>
      <c r="C47">
        <v>12</v>
      </c>
      <c r="D47">
        <v>12</v>
      </c>
      <c r="E47">
        <v>1</v>
      </c>
      <c r="F47">
        <v>2</v>
      </c>
      <c r="G47">
        <v>36.24</v>
      </c>
    </row>
    <row r="48" spans="1:7" x14ac:dyDescent="0.3">
      <c r="A48">
        <v>1</v>
      </c>
      <c r="B48" t="s">
        <v>7</v>
      </c>
      <c r="C48">
        <v>12</v>
      </c>
      <c r="D48">
        <v>12</v>
      </c>
      <c r="E48">
        <v>1</v>
      </c>
      <c r="F48">
        <v>3</v>
      </c>
      <c r="G48">
        <v>41.73</v>
      </c>
    </row>
    <row r="49" spans="1:7" x14ac:dyDescent="0.3">
      <c r="A49">
        <v>1</v>
      </c>
      <c r="B49" t="s">
        <v>7</v>
      </c>
      <c r="C49">
        <v>12</v>
      </c>
      <c r="D49">
        <v>12</v>
      </c>
      <c r="E49">
        <v>1</v>
      </c>
      <c r="F49">
        <v>4</v>
      </c>
      <c r="G49">
        <v>37.32</v>
      </c>
    </row>
    <row r="50" spans="1:7" x14ac:dyDescent="0.3">
      <c r="A50">
        <v>1</v>
      </c>
      <c r="B50" t="s">
        <v>7</v>
      </c>
      <c r="C50">
        <v>13</v>
      </c>
      <c r="D50">
        <v>12</v>
      </c>
      <c r="E50">
        <v>1</v>
      </c>
      <c r="F50">
        <v>1</v>
      </c>
      <c r="G50">
        <v>50.48</v>
      </c>
    </row>
    <row r="51" spans="1:7" x14ac:dyDescent="0.3">
      <c r="A51">
        <v>1</v>
      </c>
      <c r="B51" t="s">
        <v>7</v>
      </c>
      <c r="C51">
        <v>13</v>
      </c>
      <c r="D51">
        <v>12</v>
      </c>
      <c r="E51">
        <v>1</v>
      </c>
      <c r="F51">
        <v>2</v>
      </c>
      <c r="G51">
        <v>36.880000000000003</v>
      </c>
    </row>
    <row r="52" spans="1:7" x14ac:dyDescent="0.3">
      <c r="A52">
        <v>1</v>
      </c>
      <c r="B52" t="s">
        <v>7</v>
      </c>
      <c r="C52">
        <v>13</v>
      </c>
      <c r="D52">
        <v>12</v>
      </c>
      <c r="E52">
        <v>1</v>
      </c>
      <c r="F52">
        <v>3</v>
      </c>
      <c r="G52">
        <v>35.68</v>
      </c>
    </row>
    <row r="53" spans="1:7" x14ac:dyDescent="0.3">
      <c r="A53">
        <v>1</v>
      </c>
      <c r="B53" t="s">
        <v>7</v>
      </c>
      <c r="C53">
        <v>13</v>
      </c>
      <c r="D53">
        <v>12</v>
      </c>
      <c r="E53">
        <v>1</v>
      </c>
      <c r="F53">
        <v>4</v>
      </c>
      <c r="G53">
        <v>46.45</v>
      </c>
    </row>
    <row r="54" spans="1:7" x14ac:dyDescent="0.3">
      <c r="A54">
        <v>2</v>
      </c>
      <c r="B54" t="s">
        <v>8</v>
      </c>
      <c r="C54">
        <v>101</v>
      </c>
      <c r="D54">
        <v>22</v>
      </c>
      <c r="E54">
        <v>1</v>
      </c>
      <c r="F54">
        <v>1</v>
      </c>
      <c r="G54">
        <v>67.48</v>
      </c>
    </row>
    <row r="55" spans="1:7" x14ac:dyDescent="0.3">
      <c r="A55">
        <v>2</v>
      </c>
      <c r="B55" t="s">
        <v>8</v>
      </c>
      <c r="C55">
        <v>101</v>
      </c>
      <c r="D55">
        <v>22</v>
      </c>
      <c r="E55">
        <v>1</v>
      </c>
      <c r="F55">
        <v>2</v>
      </c>
      <c r="G55">
        <v>65.569999999999993</v>
      </c>
    </row>
    <row r="56" spans="1:7" x14ac:dyDescent="0.3">
      <c r="A56">
        <v>2</v>
      </c>
      <c r="B56" t="s">
        <v>8</v>
      </c>
      <c r="C56">
        <v>101</v>
      </c>
      <c r="D56">
        <v>22</v>
      </c>
      <c r="E56">
        <v>1</v>
      </c>
      <c r="F56">
        <v>3</v>
      </c>
      <c r="G56">
        <v>68.42</v>
      </c>
    </row>
    <row r="57" spans="1:7" x14ac:dyDescent="0.3">
      <c r="A57">
        <v>2</v>
      </c>
      <c r="B57" t="s">
        <v>8</v>
      </c>
      <c r="C57">
        <v>101</v>
      </c>
      <c r="D57">
        <v>22</v>
      </c>
      <c r="E57">
        <v>1</v>
      </c>
      <c r="F57">
        <v>4</v>
      </c>
      <c r="G57">
        <v>60.93</v>
      </c>
    </row>
    <row r="58" spans="1:7" x14ac:dyDescent="0.3">
      <c r="A58">
        <v>2</v>
      </c>
      <c r="B58" t="s">
        <v>8</v>
      </c>
      <c r="C58">
        <v>102</v>
      </c>
      <c r="D58">
        <v>8</v>
      </c>
      <c r="E58">
        <v>3</v>
      </c>
      <c r="F58">
        <v>1</v>
      </c>
      <c r="G58">
        <v>61.59</v>
      </c>
    </row>
    <row r="59" spans="1:7" x14ac:dyDescent="0.3">
      <c r="A59">
        <v>2</v>
      </c>
      <c r="B59" t="s">
        <v>8</v>
      </c>
      <c r="C59">
        <v>102</v>
      </c>
      <c r="D59">
        <v>8</v>
      </c>
      <c r="E59">
        <v>3</v>
      </c>
      <c r="F59">
        <v>2</v>
      </c>
      <c r="G59">
        <v>63.64</v>
      </c>
    </row>
    <row r="60" spans="1:7" x14ac:dyDescent="0.3">
      <c r="A60">
        <v>2</v>
      </c>
      <c r="B60" t="s">
        <v>8</v>
      </c>
      <c r="C60">
        <v>102</v>
      </c>
      <c r="D60">
        <v>8</v>
      </c>
      <c r="E60">
        <v>3</v>
      </c>
      <c r="F60">
        <v>3</v>
      </c>
      <c r="G60">
        <v>54.68</v>
      </c>
    </row>
    <row r="61" spans="1:7" x14ac:dyDescent="0.3">
      <c r="A61">
        <v>2</v>
      </c>
      <c r="B61" t="s">
        <v>8</v>
      </c>
      <c r="C61">
        <v>102</v>
      </c>
      <c r="D61">
        <v>8</v>
      </c>
      <c r="E61">
        <v>3</v>
      </c>
      <c r="F61">
        <v>4</v>
      </c>
      <c r="G61">
        <v>61.24</v>
      </c>
    </row>
    <row r="62" spans="1:7" x14ac:dyDescent="0.3">
      <c r="A62">
        <v>2</v>
      </c>
      <c r="B62" t="s">
        <v>8</v>
      </c>
      <c r="C62">
        <v>103</v>
      </c>
      <c r="D62">
        <v>22</v>
      </c>
      <c r="E62">
        <v>3</v>
      </c>
      <c r="F62">
        <v>1</v>
      </c>
      <c r="G62">
        <v>62.93</v>
      </c>
    </row>
    <row r="63" spans="1:7" x14ac:dyDescent="0.3">
      <c r="A63">
        <v>2</v>
      </c>
      <c r="B63" t="s">
        <v>8</v>
      </c>
      <c r="C63">
        <v>103</v>
      </c>
      <c r="D63">
        <v>22</v>
      </c>
      <c r="E63">
        <v>3</v>
      </c>
      <c r="F63">
        <v>2</v>
      </c>
      <c r="G63">
        <v>58.77</v>
      </c>
    </row>
    <row r="64" spans="1:7" x14ac:dyDescent="0.3">
      <c r="A64">
        <v>2</v>
      </c>
      <c r="B64" t="s">
        <v>8</v>
      </c>
      <c r="C64">
        <v>103</v>
      </c>
      <c r="D64">
        <v>22</v>
      </c>
      <c r="E64">
        <v>3</v>
      </c>
      <c r="F64">
        <v>3</v>
      </c>
      <c r="G64">
        <v>70.599999999999994</v>
      </c>
    </row>
    <row r="65" spans="1:7" x14ac:dyDescent="0.3">
      <c r="A65">
        <v>2</v>
      </c>
      <c r="B65" t="s">
        <v>8</v>
      </c>
      <c r="C65">
        <v>103</v>
      </c>
      <c r="D65">
        <v>22</v>
      </c>
      <c r="E65">
        <v>3</v>
      </c>
      <c r="F65">
        <v>4</v>
      </c>
      <c r="G65">
        <v>65.06</v>
      </c>
    </row>
    <row r="66" spans="1:7" x14ac:dyDescent="0.3">
      <c r="A66">
        <v>2</v>
      </c>
      <c r="B66" t="s">
        <v>8</v>
      </c>
      <c r="C66">
        <v>104</v>
      </c>
      <c r="D66">
        <v>19</v>
      </c>
      <c r="E66">
        <v>3</v>
      </c>
      <c r="F66">
        <v>1</v>
      </c>
      <c r="G66">
        <v>59.76</v>
      </c>
    </row>
    <row r="67" spans="1:7" x14ac:dyDescent="0.3">
      <c r="A67">
        <v>2</v>
      </c>
      <c r="B67" t="s">
        <v>8</v>
      </c>
      <c r="C67">
        <v>104</v>
      </c>
      <c r="D67">
        <v>19</v>
      </c>
      <c r="E67">
        <v>3</v>
      </c>
      <c r="F67">
        <v>2</v>
      </c>
      <c r="G67">
        <v>66.11</v>
      </c>
    </row>
    <row r="68" spans="1:7" x14ac:dyDescent="0.3">
      <c r="A68">
        <v>2</v>
      </c>
      <c r="B68" t="s">
        <v>8</v>
      </c>
      <c r="C68">
        <v>104</v>
      </c>
      <c r="D68">
        <v>19</v>
      </c>
      <c r="E68">
        <v>3</v>
      </c>
      <c r="F68">
        <v>3</v>
      </c>
      <c r="G68">
        <v>62.16</v>
      </c>
    </row>
    <row r="69" spans="1:7" x14ac:dyDescent="0.3">
      <c r="A69">
        <v>2</v>
      </c>
      <c r="B69" t="s">
        <v>8</v>
      </c>
      <c r="C69">
        <v>104</v>
      </c>
      <c r="D69">
        <v>19</v>
      </c>
      <c r="E69">
        <v>3</v>
      </c>
      <c r="F69">
        <v>4</v>
      </c>
      <c r="G69">
        <v>64.040000000000006</v>
      </c>
    </row>
    <row r="70" spans="1:7" x14ac:dyDescent="0.3">
      <c r="A70">
        <v>2</v>
      </c>
      <c r="B70" t="s">
        <v>8</v>
      </c>
      <c r="C70">
        <v>105</v>
      </c>
      <c r="D70">
        <v>8</v>
      </c>
      <c r="E70">
        <v>3</v>
      </c>
      <c r="F70">
        <v>1</v>
      </c>
      <c r="G70">
        <v>59.65</v>
      </c>
    </row>
    <row r="71" spans="1:7" x14ac:dyDescent="0.3">
      <c r="A71">
        <v>2</v>
      </c>
      <c r="B71" t="s">
        <v>8</v>
      </c>
      <c r="C71">
        <v>105</v>
      </c>
      <c r="D71">
        <v>8</v>
      </c>
      <c r="E71">
        <v>3</v>
      </c>
      <c r="F71">
        <v>2</v>
      </c>
      <c r="G71">
        <v>57.04</v>
      </c>
    </row>
    <row r="72" spans="1:7" x14ac:dyDescent="0.3">
      <c r="A72">
        <v>2</v>
      </c>
      <c r="B72" t="s">
        <v>8</v>
      </c>
      <c r="C72">
        <v>105</v>
      </c>
      <c r="D72">
        <v>8</v>
      </c>
      <c r="E72">
        <v>3</v>
      </c>
      <c r="F72">
        <v>3</v>
      </c>
      <c r="G72">
        <v>59.73</v>
      </c>
    </row>
    <row r="73" spans="1:7" x14ac:dyDescent="0.3">
      <c r="A73">
        <v>2</v>
      </c>
      <c r="B73" t="s">
        <v>8</v>
      </c>
      <c r="C73">
        <v>105</v>
      </c>
      <c r="D73">
        <v>8</v>
      </c>
      <c r="E73">
        <v>3</v>
      </c>
      <c r="F73">
        <v>4</v>
      </c>
      <c r="G73">
        <v>56.72</v>
      </c>
    </row>
    <row r="74" spans="1:7" x14ac:dyDescent="0.3">
      <c r="A74">
        <v>2</v>
      </c>
      <c r="B74" t="s">
        <v>8</v>
      </c>
      <c r="C74">
        <v>106</v>
      </c>
      <c r="D74">
        <v>5</v>
      </c>
      <c r="E74">
        <v>3</v>
      </c>
      <c r="F74">
        <v>1</v>
      </c>
      <c r="G74">
        <v>58.55</v>
      </c>
    </row>
    <row r="75" spans="1:7" x14ac:dyDescent="0.3">
      <c r="A75">
        <v>2</v>
      </c>
      <c r="B75" t="s">
        <v>8</v>
      </c>
      <c r="C75">
        <v>106</v>
      </c>
      <c r="D75">
        <v>5</v>
      </c>
      <c r="E75">
        <v>3</v>
      </c>
      <c r="F75">
        <v>2</v>
      </c>
      <c r="G75">
        <v>62.19</v>
      </c>
    </row>
    <row r="76" spans="1:7" x14ac:dyDescent="0.3">
      <c r="A76">
        <v>2</v>
      </c>
      <c r="B76" t="s">
        <v>8</v>
      </c>
      <c r="C76">
        <v>106</v>
      </c>
      <c r="D76">
        <v>5</v>
      </c>
      <c r="E76">
        <v>3</v>
      </c>
      <c r="F76">
        <v>3</v>
      </c>
      <c r="G76">
        <v>53.14</v>
      </c>
    </row>
    <row r="77" spans="1:7" x14ac:dyDescent="0.3">
      <c r="A77">
        <v>2</v>
      </c>
      <c r="B77" t="s">
        <v>8</v>
      </c>
      <c r="C77">
        <v>106</v>
      </c>
      <c r="D77">
        <v>5</v>
      </c>
      <c r="E77">
        <v>3</v>
      </c>
      <c r="F77">
        <v>4</v>
      </c>
      <c r="G77">
        <v>62.27</v>
      </c>
    </row>
    <row r="78" spans="1:7" x14ac:dyDescent="0.3">
      <c r="A78">
        <v>3</v>
      </c>
      <c r="B78" t="s">
        <v>9</v>
      </c>
      <c r="C78">
        <v>201</v>
      </c>
      <c r="D78">
        <v>4</v>
      </c>
      <c r="E78">
        <v>3</v>
      </c>
      <c r="F78">
        <v>1</v>
      </c>
      <c r="G78">
        <v>86.14</v>
      </c>
    </row>
    <row r="79" spans="1:7" x14ac:dyDescent="0.3">
      <c r="A79">
        <v>3</v>
      </c>
      <c r="B79" t="s">
        <v>9</v>
      </c>
      <c r="C79">
        <v>201</v>
      </c>
      <c r="D79">
        <v>4</v>
      </c>
      <c r="E79">
        <v>3</v>
      </c>
      <c r="F79">
        <v>2</v>
      </c>
      <c r="G79">
        <v>82.56</v>
      </c>
    </row>
    <row r="80" spans="1:7" x14ac:dyDescent="0.3">
      <c r="A80">
        <v>3</v>
      </c>
      <c r="B80" t="s">
        <v>9</v>
      </c>
      <c r="C80">
        <v>201</v>
      </c>
      <c r="D80">
        <v>4</v>
      </c>
      <c r="E80">
        <v>3</v>
      </c>
      <c r="F80">
        <v>3</v>
      </c>
      <c r="G80">
        <v>79.36</v>
      </c>
    </row>
    <row r="81" spans="1:7" x14ac:dyDescent="0.3">
      <c r="A81">
        <v>3</v>
      </c>
      <c r="B81" t="s">
        <v>9</v>
      </c>
      <c r="C81">
        <v>201</v>
      </c>
      <c r="D81">
        <v>4</v>
      </c>
      <c r="E81">
        <v>3</v>
      </c>
      <c r="F81">
        <v>4</v>
      </c>
      <c r="G81">
        <v>77.17</v>
      </c>
    </row>
    <row r="82" spans="1:7" x14ac:dyDescent="0.3">
      <c r="A82">
        <v>3</v>
      </c>
      <c r="B82" t="s">
        <v>9</v>
      </c>
      <c r="C82">
        <v>202</v>
      </c>
      <c r="D82">
        <v>8</v>
      </c>
      <c r="E82">
        <v>1</v>
      </c>
      <c r="F82">
        <v>1</v>
      </c>
      <c r="G82">
        <v>88.73</v>
      </c>
    </row>
    <row r="83" spans="1:7" x14ac:dyDescent="0.3">
      <c r="A83">
        <v>3</v>
      </c>
      <c r="B83" t="s">
        <v>9</v>
      </c>
      <c r="C83">
        <v>202</v>
      </c>
      <c r="D83">
        <v>8</v>
      </c>
      <c r="E83">
        <v>1</v>
      </c>
      <c r="F83">
        <v>2</v>
      </c>
      <c r="G83">
        <v>85.21</v>
      </c>
    </row>
    <row r="84" spans="1:7" x14ac:dyDescent="0.3">
      <c r="A84">
        <v>3</v>
      </c>
      <c r="B84" t="s">
        <v>9</v>
      </c>
      <c r="C84">
        <v>202</v>
      </c>
      <c r="D84">
        <v>8</v>
      </c>
      <c r="E84">
        <v>1</v>
      </c>
      <c r="F84">
        <v>3</v>
      </c>
      <c r="G84">
        <v>81.55</v>
      </c>
    </row>
    <row r="85" spans="1:7" x14ac:dyDescent="0.3">
      <c r="A85">
        <v>3</v>
      </c>
      <c r="B85" t="s">
        <v>9</v>
      </c>
      <c r="C85">
        <v>202</v>
      </c>
      <c r="D85">
        <v>8</v>
      </c>
      <c r="E85">
        <v>1</v>
      </c>
      <c r="F85">
        <v>4</v>
      </c>
      <c r="G85">
        <v>94.17</v>
      </c>
    </row>
    <row r="86" spans="1:7" x14ac:dyDescent="0.3">
      <c r="A86">
        <v>3</v>
      </c>
      <c r="B86" t="s">
        <v>9</v>
      </c>
      <c r="C86">
        <v>203</v>
      </c>
      <c r="D86">
        <v>12</v>
      </c>
      <c r="E86">
        <v>3</v>
      </c>
      <c r="F86">
        <v>1</v>
      </c>
      <c r="G86">
        <v>89.7</v>
      </c>
    </row>
    <row r="87" spans="1:7" x14ac:dyDescent="0.3">
      <c r="A87">
        <v>3</v>
      </c>
      <c r="B87" t="s">
        <v>9</v>
      </c>
      <c r="C87">
        <v>203</v>
      </c>
      <c r="D87">
        <v>12</v>
      </c>
      <c r="E87">
        <v>3</v>
      </c>
      <c r="F87">
        <v>2</v>
      </c>
      <c r="G87">
        <v>78.430000000000007</v>
      </c>
    </row>
    <row r="88" spans="1:7" x14ac:dyDescent="0.3">
      <c r="A88">
        <v>3</v>
      </c>
      <c r="B88" t="s">
        <v>9</v>
      </c>
      <c r="C88">
        <v>203</v>
      </c>
      <c r="D88">
        <v>12</v>
      </c>
      <c r="E88">
        <v>3</v>
      </c>
      <c r="F88">
        <v>3</v>
      </c>
      <c r="G88">
        <v>84.05</v>
      </c>
    </row>
    <row r="89" spans="1:7" x14ac:dyDescent="0.3">
      <c r="A89">
        <v>3</v>
      </c>
      <c r="B89" t="s">
        <v>9</v>
      </c>
      <c r="C89">
        <v>203</v>
      </c>
      <c r="D89">
        <v>12</v>
      </c>
      <c r="E89">
        <v>3</v>
      </c>
      <c r="F89">
        <v>4</v>
      </c>
      <c r="G89">
        <v>81.180000000000007</v>
      </c>
    </row>
    <row r="90" spans="1:7" x14ac:dyDescent="0.3">
      <c r="A90">
        <v>3</v>
      </c>
      <c r="B90" t="s">
        <v>9</v>
      </c>
      <c r="C90">
        <v>204</v>
      </c>
      <c r="D90">
        <v>1</v>
      </c>
      <c r="E90">
        <v>2</v>
      </c>
      <c r="F90">
        <v>1</v>
      </c>
      <c r="G90">
        <v>87.43</v>
      </c>
    </row>
    <row r="91" spans="1:7" x14ac:dyDescent="0.3">
      <c r="A91">
        <v>3</v>
      </c>
      <c r="B91" t="s">
        <v>9</v>
      </c>
      <c r="C91">
        <v>204</v>
      </c>
      <c r="D91">
        <v>1</v>
      </c>
      <c r="E91">
        <v>2</v>
      </c>
      <c r="F91">
        <v>2</v>
      </c>
      <c r="G91">
        <v>81.790000000000006</v>
      </c>
    </row>
    <row r="92" spans="1:7" x14ac:dyDescent="0.3">
      <c r="A92">
        <v>3</v>
      </c>
      <c r="B92" t="s">
        <v>9</v>
      </c>
      <c r="C92">
        <v>204</v>
      </c>
      <c r="D92">
        <v>1</v>
      </c>
      <c r="E92">
        <v>2</v>
      </c>
      <c r="F92">
        <v>3</v>
      </c>
      <c r="G92">
        <v>88.12</v>
      </c>
    </row>
    <row r="93" spans="1:7" x14ac:dyDescent="0.3">
      <c r="A93">
        <v>3</v>
      </c>
      <c r="B93" t="s">
        <v>9</v>
      </c>
      <c r="C93">
        <v>204</v>
      </c>
      <c r="D93">
        <v>1</v>
      </c>
      <c r="E93">
        <v>2</v>
      </c>
      <c r="F93">
        <v>4</v>
      </c>
      <c r="G93">
        <v>75.290000000000006</v>
      </c>
    </row>
    <row r="94" spans="1:7" x14ac:dyDescent="0.3">
      <c r="A94">
        <v>3</v>
      </c>
      <c r="B94" t="s">
        <v>9</v>
      </c>
      <c r="C94">
        <v>205</v>
      </c>
      <c r="D94">
        <v>19</v>
      </c>
      <c r="E94">
        <v>3</v>
      </c>
      <c r="F94">
        <v>1</v>
      </c>
      <c r="G94">
        <v>83.02</v>
      </c>
    </row>
    <row r="95" spans="1:7" x14ac:dyDescent="0.3">
      <c r="A95">
        <v>3</v>
      </c>
      <c r="B95" t="s">
        <v>9</v>
      </c>
      <c r="C95">
        <v>205</v>
      </c>
      <c r="D95">
        <v>19</v>
      </c>
      <c r="E95">
        <v>3</v>
      </c>
      <c r="F95">
        <v>2</v>
      </c>
      <c r="G95">
        <v>90.3</v>
      </c>
    </row>
    <row r="96" spans="1:7" x14ac:dyDescent="0.3">
      <c r="A96">
        <v>3</v>
      </c>
      <c r="B96" t="s">
        <v>9</v>
      </c>
      <c r="C96">
        <v>205</v>
      </c>
      <c r="D96">
        <v>19</v>
      </c>
      <c r="E96">
        <v>3</v>
      </c>
      <c r="F96">
        <v>3</v>
      </c>
      <c r="G96">
        <v>85.18</v>
      </c>
    </row>
    <row r="97" spans="1:7" x14ac:dyDescent="0.3">
      <c r="A97">
        <v>3</v>
      </c>
      <c r="B97" t="s">
        <v>9</v>
      </c>
      <c r="C97">
        <v>205</v>
      </c>
      <c r="D97">
        <v>19</v>
      </c>
      <c r="E97">
        <v>3</v>
      </c>
      <c r="F97">
        <v>4</v>
      </c>
      <c r="G97">
        <v>89.77</v>
      </c>
    </row>
    <row r="98" spans="1:7" x14ac:dyDescent="0.3">
      <c r="A98">
        <v>3</v>
      </c>
      <c r="B98" t="s">
        <v>9</v>
      </c>
      <c r="C98">
        <v>206</v>
      </c>
      <c r="D98">
        <v>11</v>
      </c>
      <c r="E98">
        <v>3</v>
      </c>
      <c r="F98">
        <v>1</v>
      </c>
      <c r="G98">
        <v>82.64</v>
      </c>
    </row>
    <row r="99" spans="1:7" x14ac:dyDescent="0.3">
      <c r="A99">
        <v>3</v>
      </c>
      <c r="B99" t="s">
        <v>9</v>
      </c>
      <c r="C99">
        <v>206</v>
      </c>
      <c r="D99">
        <v>11</v>
      </c>
      <c r="E99">
        <v>3</v>
      </c>
      <c r="F99">
        <v>2</v>
      </c>
      <c r="G99">
        <v>82.89</v>
      </c>
    </row>
    <row r="100" spans="1:7" x14ac:dyDescent="0.3">
      <c r="A100">
        <v>3</v>
      </c>
      <c r="B100" t="s">
        <v>9</v>
      </c>
      <c r="C100">
        <v>206</v>
      </c>
      <c r="D100">
        <v>11</v>
      </c>
      <c r="E100">
        <v>3</v>
      </c>
      <c r="F100">
        <v>3</v>
      </c>
      <c r="G100">
        <v>82.13</v>
      </c>
    </row>
    <row r="101" spans="1:7" x14ac:dyDescent="0.3">
      <c r="A101">
        <v>3</v>
      </c>
      <c r="B101" t="s">
        <v>9</v>
      </c>
      <c r="C101">
        <v>206</v>
      </c>
      <c r="D101">
        <v>11</v>
      </c>
      <c r="E101">
        <v>3</v>
      </c>
      <c r="F101">
        <v>4</v>
      </c>
      <c r="G101">
        <v>88.91</v>
      </c>
    </row>
    <row r="102" spans="1:7" x14ac:dyDescent="0.3">
      <c r="A102">
        <v>3</v>
      </c>
      <c r="B102" t="s">
        <v>9</v>
      </c>
      <c r="C102">
        <v>207</v>
      </c>
      <c r="D102">
        <v>1</v>
      </c>
      <c r="E102">
        <v>3</v>
      </c>
      <c r="F102">
        <v>1</v>
      </c>
      <c r="G102">
        <v>87.7</v>
      </c>
    </row>
    <row r="103" spans="1:7" x14ac:dyDescent="0.3">
      <c r="A103">
        <v>3</v>
      </c>
      <c r="B103" t="s">
        <v>9</v>
      </c>
      <c r="C103">
        <v>207</v>
      </c>
      <c r="D103">
        <v>1</v>
      </c>
      <c r="E103">
        <v>3</v>
      </c>
      <c r="F103">
        <v>2</v>
      </c>
      <c r="G103">
        <v>81.16</v>
      </c>
    </row>
    <row r="104" spans="1:7" x14ac:dyDescent="0.3">
      <c r="A104">
        <v>3</v>
      </c>
      <c r="B104" t="s">
        <v>9</v>
      </c>
      <c r="C104">
        <v>207</v>
      </c>
      <c r="D104">
        <v>1</v>
      </c>
      <c r="E104">
        <v>3</v>
      </c>
      <c r="F104">
        <v>3</v>
      </c>
      <c r="G104">
        <v>81.58</v>
      </c>
    </row>
    <row r="105" spans="1:7" x14ac:dyDescent="0.3">
      <c r="A105">
        <v>3</v>
      </c>
      <c r="B105" t="s">
        <v>9</v>
      </c>
      <c r="C105">
        <v>207</v>
      </c>
      <c r="D105">
        <v>1</v>
      </c>
      <c r="E105">
        <v>3</v>
      </c>
      <c r="F105">
        <v>4</v>
      </c>
      <c r="G105">
        <v>94.21</v>
      </c>
    </row>
    <row r="106" spans="1:7" x14ac:dyDescent="0.3">
      <c r="A106">
        <v>3</v>
      </c>
      <c r="B106" t="s">
        <v>9</v>
      </c>
      <c r="C106">
        <v>208</v>
      </c>
      <c r="D106">
        <v>1</v>
      </c>
      <c r="E106">
        <v>3</v>
      </c>
      <c r="F106">
        <v>1</v>
      </c>
      <c r="G106">
        <v>96.48</v>
      </c>
    </row>
    <row r="107" spans="1:7" x14ac:dyDescent="0.3">
      <c r="A107">
        <v>3</v>
      </c>
      <c r="B107" t="s">
        <v>9</v>
      </c>
      <c r="C107">
        <v>208</v>
      </c>
      <c r="D107">
        <v>1</v>
      </c>
      <c r="E107">
        <v>3</v>
      </c>
      <c r="F107">
        <v>2</v>
      </c>
      <c r="G107">
        <v>84.13</v>
      </c>
    </row>
    <row r="108" spans="1:7" x14ac:dyDescent="0.3">
      <c r="A108">
        <v>3</v>
      </c>
      <c r="B108" t="s">
        <v>9</v>
      </c>
      <c r="C108">
        <v>208</v>
      </c>
      <c r="D108">
        <v>1</v>
      </c>
      <c r="E108">
        <v>3</v>
      </c>
      <c r="F108">
        <v>3</v>
      </c>
      <c r="G108">
        <v>91.98</v>
      </c>
    </row>
    <row r="109" spans="1:7" x14ac:dyDescent="0.3">
      <c r="A109">
        <v>3</v>
      </c>
      <c r="B109" t="s">
        <v>9</v>
      </c>
      <c r="C109">
        <v>208</v>
      </c>
      <c r="D109">
        <v>1</v>
      </c>
      <c r="E109">
        <v>3</v>
      </c>
      <c r="F109">
        <v>4</v>
      </c>
      <c r="G109">
        <v>81.72</v>
      </c>
    </row>
    <row r="110" spans="1:7" x14ac:dyDescent="0.3">
      <c r="A110">
        <v>3</v>
      </c>
      <c r="B110" t="s">
        <v>9</v>
      </c>
      <c r="C110">
        <v>209</v>
      </c>
      <c r="D110">
        <v>1</v>
      </c>
      <c r="E110">
        <v>1</v>
      </c>
      <c r="F110">
        <v>1</v>
      </c>
      <c r="G110">
        <v>93.71</v>
      </c>
    </row>
    <row r="111" spans="1:7" x14ac:dyDescent="0.3">
      <c r="A111">
        <v>3</v>
      </c>
      <c r="B111" t="s">
        <v>9</v>
      </c>
      <c r="C111">
        <v>209</v>
      </c>
      <c r="D111">
        <v>1</v>
      </c>
      <c r="E111">
        <v>1</v>
      </c>
      <c r="F111">
        <v>2</v>
      </c>
      <c r="G111">
        <v>96.01</v>
      </c>
    </row>
    <row r="112" spans="1:7" x14ac:dyDescent="0.3">
      <c r="A112">
        <v>3</v>
      </c>
      <c r="B112" t="s">
        <v>9</v>
      </c>
      <c r="C112">
        <v>209</v>
      </c>
      <c r="D112">
        <v>1</v>
      </c>
      <c r="E112">
        <v>1</v>
      </c>
      <c r="F112">
        <v>3</v>
      </c>
      <c r="G112">
        <v>93.03</v>
      </c>
    </row>
    <row r="113" spans="1:7" x14ac:dyDescent="0.3">
      <c r="A113">
        <v>3</v>
      </c>
      <c r="B113" t="s">
        <v>9</v>
      </c>
      <c r="C113">
        <v>209</v>
      </c>
      <c r="D113">
        <v>1</v>
      </c>
      <c r="E113">
        <v>1</v>
      </c>
      <c r="F113">
        <v>4</v>
      </c>
      <c r="G113">
        <v>97.61</v>
      </c>
    </row>
    <row r="114" spans="1:7" x14ac:dyDescent="0.3">
      <c r="A114">
        <v>3</v>
      </c>
      <c r="B114" t="s">
        <v>9</v>
      </c>
      <c r="C114">
        <v>210</v>
      </c>
      <c r="D114">
        <v>19</v>
      </c>
      <c r="E114">
        <v>1</v>
      </c>
      <c r="F114">
        <v>1</v>
      </c>
      <c r="G114">
        <v>85.11</v>
      </c>
    </row>
    <row r="115" spans="1:7" x14ac:dyDescent="0.3">
      <c r="A115">
        <v>3</v>
      </c>
      <c r="B115" t="s">
        <v>9</v>
      </c>
      <c r="C115">
        <v>210</v>
      </c>
      <c r="D115">
        <v>19</v>
      </c>
      <c r="E115">
        <v>1</v>
      </c>
      <c r="F115">
        <v>2</v>
      </c>
      <c r="G115">
        <v>88.07</v>
      </c>
    </row>
    <row r="116" spans="1:7" x14ac:dyDescent="0.3">
      <c r="A116">
        <v>3</v>
      </c>
      <c r="B116" t="s">
        <v>9</v>
      </c>
      <c r="C116">
        <v>210</v>
      </c>
      <c r="D116">
        <v>19</v>
      </c>
      <c r="E116">
        <v>1</v>
      </c>
      <c r="F116">
        <v>3</v>
      </c>
      <c r="G116">
        <v>94.43</v>
      </c>
    </row>
    <row r="117" spans="1:7" x14ac:dyDescent="0.3">
      <c r="A117">
        <v>3</v>
      </c>
      <c r="B117" t="s">
        <v>9</v>
      </c>
      <c r="C117">
        <v>210</v>
      </c>
      <c r="D117">
        <v>19</v>
      </c>
      <c r="E117">
        <v>1</v>
      </c>
      <c r="F117">
        <v>4</v>
      </c>
      <c r="G117">
        <v>89.44</v>
      </c>
    </row>
    <row r="118" spans="1:7" x14ac:dyDescent="0.3">
      <c r="A118">
        <v>3</v>
      </c>
      <c r="B118" t="s">
        <v>9</v>
      </c>
      <c r="C118">
        <v>211</v>
      </c>
      <c r="D118">
        <v>13</v>
      </c>
      <c r="E118">
        <v>2</v>
      </c>
      <c r="F118">
        <v>1</v>
      </c>
      <c r="G118">
        <v>88.64</v>
      </c>
    </row>
    <row r="119" spans="1:7" x14ac:dyDescent="0.3">
      <c r="A119">
        <v>3</v>
      </c>
      <c r="B119" t="s">
        <v>9</v>
      </c>
      <c r="C119">
        <v>211</v>
      </c>
      <c r="D119">
        <v>13</v>
      </c>
      <c r="E119">
        <v>2</v>
      </c>
      <c r="F119">
        <v>2</v>
      </c>
      <c r="G119">
        <v>81.37</v>
      </c>
    </row>
    <row r="120" spans="1:7" x14ac:dyDescent="0.3">
      <c r="A120">
        <v>3</v>
      </c>
      <c r="B120" t="s">
        <v>9</v>
      </c>
      <c r="C120">
        <v>211</v>
      </c>
      <c r="D120">
        <v>13</v>
      </c>
      <c r="E120">
        <v>2</v>
      </c>
      <c r="F120">
        <v>3</v>
      </c>
      <c r="G120">
        <v>82.14</v>
      </c>
    </row>
    <row r="121" spans="1:7" x14ac:dyDescent="0.3">
      <c r="A121">
        <v>3</v>
      </c>
      <c r="B121" t="s">
        <v>9</v>
      </c>
      <c r="C121">
        <v>211</v>
      </c>
      <c r="D121">
        <v>13</v>
      </c>
      <c r="E121">
        <v>2</v>
      </c>
      <c r="F121">
        <v>4</v>
      </c>
      <c r="G121">
        <v>79.64</v>
      </c>
    </row>
    <row r="122" spans="1:7" x14ac:dyDescent="0.3">
      <c r="A122">
        <v>3</v>
      </c>
      <c r="B122" t="s">
        <v>9</v>
      </c>
      <c r="C122">
        <v>212</v>
      </c>
      <c r="D122">
        <v>3</v>
      </c>
      <c r="E122">
        <v>3</v>
      </c>
      <c r="F122">
        <v>1</v>
      </c>
      <c r="G122">
        <v>84.34</v>
      </c>
    </row>
    <row r="123" spans="1:7" x14ac:dyDescent="0.3">
      <c r="A123">
        <v>3</v>
      </c>
      <c r="B123" t="s">
        <v>9</v>
      </c>
      <c r="C123">
        <v>212</v>
      </c>
      <c r="D123">
        <v>3</v>
      </c>
      <c r="E123">
        <v>3</v>
      </c>
      <c r="F123">
        <v>2</v>
      </c>
      <c r="G123">
        <v>87.9</v>
      </c>
    </row>
    <row r="124" spans="1:7" x14ac:dyDescent="0.3">
      <c r="A124">
        <v>3</v>
      </c>
      <c r="B124" t="s">
        <v>9</v>
      </c>
      <c r="C124">
        <v>212</v>
      </c>
      <c r="D124">
        <v>3</v>
      </c>
      <c r="E124">
        <v>3</v>
      </c>
      <c r="F124">
        <v>3</v>
      </c>
      <c r="G124">
        <v>76.12</v>
      </c>
    </row>
    <row r="125" spans="1:7" x14ac:dyDescent="0.3">
      <c r="A125">
        <v>3</v>
      </c>
      <c r="B125" t="s">
        <v>9</v>
      </c>
      <c r="C125">
        <v>212</v>
      </c>
      <c r="D125">
        <v>3</v>
      </c>
      <c r="E125">
        <v>3</v>
      </c>
      <c r="F125">
        <v>4</v>
      </c>
      <c r="G125">
        <v>82.72</v>
      </c>
    </row>
    <row r="126" spans="1:7" x14ac:dyDescent="0.3">
      <c r="A126">
        <v>3</v>
      </c>
      <c r="B126" t="s">
        <v>9</v>
      </c>
      <c r="C126">
        <v>213</v>
      </c>
      <c r="D126">
        <v>4</v>
      </c>
      <c r="E126">
        <v>2</v>
      </c>
      <c r="F126">
        <v>1</v>
      </c>
      <c r="G126">
        <v>73.22</v>
      </c>
    </row>
    <row r="127" spans="1:7" x14ac:dyDescent="0.3">
      <c r="A127">
        <v>3</v>
      </c>
      <c r="B127" t="s">
        <v>9</v>
      </c>
      <c r="C127">
        <v>213</v>
      </c>
      <c r="D127">
        <v>4</v>
      </c>
      <c r="E127">
        <v>2</v>
      </c>
      <c r="F127">
        <v>2</v>
      </c>
      <c r="G127">
        <v>75.88</v>
      </c>
    </row>
    <row r="128" spans="1:7" x14ac:dyDescent="0.3">
      <c r="A128">
        <v>3</v>
      </c>
      <c r="B128" t="s">
        <v>9</v>
      </c>
      <c r="C128">
        <v>213</v>
      </c>
      <c r="D128">
        <v>4</v>
      </c>
      <c r="E128">
        <v>2</v>
      </c>
      <c r="F128">
        <v>3</v>
      </c>
      <c r="G128">
        <v>78.010000000000005</v>
      </c>
    </row>
    <row r="129" spans="1:7" x14ac:dyDescent="0.3">
      <c r="A129">
        <v>3</v>
      </c>
      <c r="B129" t="s">
        <v>9</v>
      </c>
      <c r="C129">
        <v>213</v>
      </c>
      <c r="D129">
        <v>4</v>
      </c>
      <c r="E129">
        <v>2</v>
      </c>
      <c r="F129">
        <v>4</v>
      </c>
      <c r="G129">
        <v>80.17</v>
      </c>
    </row>
    <row r="130" spans="1:7" x14ac:dyDescent="0.3">
      <c r="A130">
        <v>3</v>
      </c>
      <c r="B130" t="s">
        <v>9</v>
      </c>
      <c r="C130">
        <v>214</v>
      </c>
      <c r="D130">
        <v>5</v>
      </c>
      <c r="E130">
        <v>1</v>
      </c>
      <c r="F130">
        <v>1</v>
      </c>
      <c r="G130">
        <v>91.6</v>
      </c>
    </row>
    <row r="131" spans="1:7" x14ac:dyDescent="0.3">
      <c r="A131">
        <v>3</v>
      </c>
      <c r="B131" t="s">
        <v>9</v>
      </c>
      <c r="C131">
        <v>214</v>
      </c>
      <c r="D131">
        <v>5</v>
      </c>
      <c r="E131">
        <v>1</v>
      </c>
      <c r="F131">
        <v>2</v>
      </c>
      <c r="G131">
        <v>80.61</v>
      </c>
    </row>
    <row r="132" spans="1:7" x14ac:dyDescent="0.3">
      <c r="A132">
        <v>3</v>
      </c>
      <c r="B132" t="s">
        <v>9</v>
      </c>
      <c r="C132">
        <v>214</v>
      </c>
      <c r="D132">
        <v>5</v>
      </c>
      <c r="E132">
        <v>1</v>
      </c>
      <c r="F132">
        <v>3</v>
      </c>
      <c r="G132">
        <v>93.86</v>
      </c>
    </row>
    <row r="133" spans="1:7" x14ac:dyDescent="0.3">
      <c r="A133">
        <v>3</v>
      </c>
      <c r="B133" t="s">
        <v>9</v>
      </c>
      <c r="C133">
        <v>214</v>
      </c>
      <c r="D133">
        <v>5</v>
      </c>
      <c r="E133">
        <v>1</v>
      </c>
      <c r="F133">
        <v>4</v>
      </c>
      <c r="G133">
        <v>83.43</v>
      </c>
    </row>
    <row r="134" spans="1:7" x14ac:dyDescent="0.3">
      <c r="A134">
        <v>3</v>
      </c>
      <c r="B134" t="s">
        <v>9</v>
      </c>
      <c r="C134">
        <v>215</v>
      </c>
      <c r="D134">
        <v>7</v>
      </c>
      <c r="E134">
        <v>2</v>
      </c>
      <c r="F134">
        <v>1</v>
      </c>
      <c r="G134">
        <v>82.65</v>
      </c>
    </row>
    <row r="135" spans="1:7" x14ac:dyDescent="0.3">
      <c r="A135">
        <v>3</v>
      </c>
      <c r="B135" t="s">
        <v>9</v>
      </c>
      <c r="C135">
        <v>215</v>
      </c>
      <c r="D135">
        <v>7</v>
      </c>
      <c r="E135">
        <v>2</v>
      </c>
      <c r="F135">
        <v>2</v>
      </c>
      <c r="G135">
        <v>77.39</v>
      </c>
    </row>
    <row r="136" spans="1:7" x14ac:dyDescent="0.3">
      <c r="A136">
        <v>3</v>
      </c>
      <c r="B136" t="s">
        <v>9</v>
      </c>
      <c r="C136">
        <v>215</v>
      </c>
      <c r="D136">
        <v>7</v>
      </c>
      <c r="E136">
        <v>2</v>
      </c>
      <c r="F136">
        <v>3</v>
      </c>
      <c r="G136">
        <v>80.83</v>
      </c>
    </row>
    <row r="137" spans="1:7" x14ac:dyDescent="0.3">
      <c r="A137">
        <v>3</v>
      </c>
      <c r="B137" t="s">
        <v>9</v>
      </c>
      <c r="C137">
        <v>215</v>
      </c>
      <c r="D137">
        <v>7</v>
      </c>
      <c r="E137">
        <v>2</v>
      </c>
      <c r="F137">
        <v>4</v>
      </c>
      <c r="G137">
        <v>80.75</v>
      </c>
    </row>
    <row r="138" spans="1:7" x14ac:dyDescent="0.3">
      <c r="A138">
        <v>3</v>
      </c>
      <c r="B138" t="s">
        <v>9</v>
      </c>
      <c r="C138">
        <v>216</v>
      </c>
      <c r="D138">
        <v>4</v>
      </c>
      <c r="E138">
        <v>3</v>
      </c>
      <c r="F138">
        <v>1</v>
      </c>
      <c r="G138">
        <v>94.89</v>
      </c>
    </row>
    <row r="139" spans="1:7" x14ac:dyDescent="0.3">
      <c r="A139">
        <v>3</v>
      </c>
      <c r="B139" t="s">
        <v>9</v>
      </c>
      <c r="C139">
        <v>216</v>
      </c>
      <c r="D139">
        <v>4</v>
      </c>
      <c r="E139">
        <v>3</v>
      </c>
      <c r="F139">
        <v>2</v>
      </c>
      <c r="G139">
        <v>74.75</v>
      </c>
    </row>
    <row r="140" spans="1:7" x14ac:dyDescent="0.3">
      <c r="A140">
        <v>3</v>
      </c>
      <c r="B140" t="s">
        <v>9</v>
      </c>
      <c r="C140">
        <v>216</v>
      </c>
      <c r="D140">
        <v>4</v>
      </c>
      <c r="E140">
        <v>3</v>
      </c>
      <c r="F140">
        <v>3</v>
      </c>
      <c r="G140">
        <v>93.63</v>
      </c>
    </row>
    <row r="141" spans="1:7" x14ac:dyDescent="0.3">
      <c r="A141">
        <v>3</v>
      </c>
      <c r="B141" t="s">
        <v>9</v>
      </c>
      <c r="C141">
        <v>216</v>
      </c>
      <c r="D141">
        <v>4</v>
      </c>
      <c r="E141">
        <v>3</v>
      </c>
      <c r="F141">
        <v>4</v>
      </c>
      <c r="G141">
        <v>80.819999999999993</v>
      </c>
    </row>
    <row r="142" spans="1:7" x14ac:dyDescent="0.3">
      <c r="A142">
        <v>3</v>
      </c>
      <c r="B142" t="s">
        <v>9</v>
      </c>
      <c r="C142">
        <v>217</v>
      </c>
      <c r="D142">
        <v>5</v>
      </c>
      <c r="E142">
        <v>3</v>
      </c>
      <c r="F142">
        <v>1</v>
      </c>
      <c r="G142">
        <v>91.61</v>
      </c>
    </row>
    <row r="143" spans="1:7" x14ac:dyDescent="0.3">
      <c r="A143">
        <v>3</v>
      </c>
      <c r="B143" t="s">
        <v>9</v>
      </c>
      <c r="C143">
        <v>217</v>
      </c>
      <c r="D143">
        <v>5</v>
      </c>
      <c r="E143">
        <v>3</v>
      </c>
      <c r="F143">
        <v>2</v>
      </c>
      <c r="G143">
        <v>79.02</v>
      </c>
    </row>
    <row r="144" spans="1:7" x14ac:dyDescent="0.3">
      <c r="A144">
        <v>3</v>
      </c>
      <c r="B144" t="s">
        <v>9</v>
      </c>
      <c r="C144">
        <v>217</v>
      </c>
      <c r="D144">
        <v>5</v>
      </c>
      <c r="E144">
        <v>3</v>
      </c>
      <c r="F144">
        <v>3</v>
      </c>
      <c r="G144">
        <v>86.11</v>
      </c>
    </row>
    <row r="145" spans="1:7" x14ac:dyDescent="0.3">
      <c r="A145">
        <v>3</v>
      </c>
      <c r="B145" t="s">
        <v>9</v>
      </c>
      <c r="C145">
        <v>217</v>
      </c>
      <c r="D145">
        <v>5</v>
      </c>
      <c r="E145">
        <v>3</v>
      </c>
      <c r="F145">
        <v>4</v>
      </c>
      <c r="G145">
        <v>82.88</v>
      </c>
    </row>
    <row r="146" spans="1:7" x14ac:dyDescent="0.3">
      <c r="A146">
        <v>3</v>
      </c>
      <c r="B146" t="s">
        <v>9</v>
      </c>
      <c r="C146">
        <v>218</v>
      </c>
      <c r="D146">
        <v>2</v>
      </c>
      <c r="E146">
        <v>1</v>
      </c>
      <c r="F146">
        <v>1</v>
      </c>
      <c r="G146">
        <v>99.65</v>
      </c>
    </row>
    <row r="147" spans="1:7" x14ac:dyDescent="0.3">
      <c r="A147">
        <v>3</v>
      </c>
      <c r="B147" t="s">
        <v>9</v>
      </c>
      <c r="C147">
        <v>218</v>
      </c>
      <c r="D147">
        <v>2</v>
      </c>
      <c r="E147">
        <v>1</v>
      </c>
      <c r="F147">
        <v>2</v>
      </c>
      <c r="G147">
        <v>88.64</v>
      </c>
    </row>
    <row r="148" spans="1:7" x14ac:dyDescent="0.3">
      <c r="A148">
        <v>3</v>
      </c>
      <c r="B148" t="s">
        <v>9</v>
      </c>
      <c r="C148">
        <v>218</v>
      </c>
      <c r="D148">
        <v>2</v>
      </c>
      <c r="E148">
        <v>1</v>
      </c>
      <c r="F148">
        <v>3</v>
      </c>
      <c r="G148">
        <v>86.96</v>
      </c>
    </row>
    <row r="149" spans="1:7" x14ac:dyDescent="0.3">
      <c r="A149">
        <v>3</v>
      </c>
      <c r="B149" t="s">
        <v>9</v>
      </c>
      <c r="C149">
        <v>218</v>
      </c>
      <c r="D149">
        <v>2</v>
      </c>
      <c r="E149">
        <v>1</v>
      </c>
      <c r="F149">
        <v>4</v>
      </c>
      <c r="G149">
        <v>89.25</v>
      </c>
    </row>
    <row r="150" spans="1:7" x14ac:dyDescent="0.3">
      <c r="A150">
        <v>3</v>
      </c>
      <c r="B150" t="s">
        <v>9</v>
      </c>
      <c r="C150">
        <v>219</v>
      </c>
      <c r="D150">
        <v>7</v>
      </c>
      <c r="E150">
        <v>2</v>
      </c>
      <c r="F150">
        <v>1</v>
      </c>
      <c r="G150">
        <v>66.22</v>
      </c>
    </row>
    <row r="151" spans="1:7" x14ac:dyDescent="0.3">
      <c r="A151">
        <v>3</v>
      </c>
      <c r="B151" t="s">
        <v>9</v>
      </c>
      <c r="C151">
        <v>219</v>
      </c>
      <c r="D151">
        <v>7</v>
      </c>
      <c r="E151">
        <v>2</v>
      </c>
      <c r="F151">
        <v>2</v>
      </c>
      <c r="G151">
        <v>82.86</v>
      </c>
    </row>
    <row r="152" spans="1:7" x14ac:dyDescent="0.3">
      <c r="A152">
        <v>3</v>
      </c>
      <c r="B152" t="s">
        <v>9</v>
      </c>
      <c r="C152">
        <v>219</v>
      </c>
      <c r="D152">
        <v>7</v>
      </c>
      <c r="E152">
        <v>2</v>
      </c>
      <c r="F152">
        <v>3</v>
      </c>
      <c r="G152">
        <v>83.4</v>
      </c>
    </row>
    <row r="153" spans="1:7" x14ac:dyDescent="0.3">
      <c r="A153">
        <v>3</v>
      </c>
      <c r="B153" t="s">
        <v>9</v>
      </c>
      <c r="C153">
        <v>219</v>
      </c>
      <c r="D153">
        <v>7</v>
      </c>
      <c r="E153">
        <v>2</v>
      </c>
      <c r="F153">
        <v>4</v>
      </c>
      <c r="G153">
        <v>75.61</v>
      </c>
    </row>
    <row r="154" spans="1:7" x14ac:dyDescent="0.3">
      <c r="A154">
        <v>3</v>
      </c>
      <c r="B154" t="s">
        <v>9</v>
      </c>
      <c r="C154">
        <v>220</v>
      </c>
      <c r="D154">
        <v>3</v>
      </c>
      <c r="E154">
        <v>1</v>
      </c>
      <c r="F154">
        <v>1</v>
      </c>
      <c r="G154">
        <v>87.08</v>
      </c>
    </row>
    <row r="155" spans="1:7" x14ac:dyDescent="0.3">
      <c r="A155">
        <v>3</v>
      </c>
      <c r="B155" t="s">
        <v>9</v>
      </c>
      <c r="C155">
        <v>220</v>
      </c>
      <c r="D155">
        <v>3</v>
      </c>
      <c r="E155">
        <v>1</v>
      </c>
      <c r="F155">
        <v>2</v>
      </c>
      <c r="G155">
        <v>89.32</v>
      </c>
    </row>
    <row r="156" spans="1:7" x14ac:dyDescent="0.3">
      <c r="A156">
        <v>3</v>
      </c>
      <c r="B156" t="s">
        <v>9</v>
      </c>
      <c r="C156">
        <v>220</v>
      </c>
      <c r="D156">
        <v>3</v>
      </c>
      <c r="E156">
        <v>1</v>
      </c>
      <c r="F156">
        <v>3</v>
      </c>
      <c r="G156">
        <v>99.12</v>
      </c>
    </row>
    <row r="157" spans="1:7" x14ac:dyDescent="0.3">
      <c r="A157">
        <v>3</v>
      </c>
      <c r="B157" t="s">
        <v>9</v>
      </c>
      <c r="C157">
        <v>220</v>
      </c>
      <c r="D157">
        <v>3</v>
      </c>
      <c r="E157">
        <v>1</v>
      </c>
      <c r="F157">
        <v>4</v>
      </c>
      <c r="G157">
        <v>85.85</v>
      </c>
    </row>
    <row r="158" spans="1:7" x14ac:dyDescent="0.3">
      <c r="A158">
        <v>3</v>
      </c>
      <c r="B158" t="s">
        <v>9</v>
      </c>
      <c r="C158">
        <v>221</v>
      </c>
      <c r="D158">
        <v>23</v>
      </c>
      <c r="E158">
        <v>2</v>
      </c>
      <c r="F158">
        <v>1</v>
      </c>
      <c r="G158">
        <v>79.53</v>
      </c>
    </row>
    <row r="159" spans="1:7" x14ac:dyDescent="0.3">
      <c r="A159">
        <v>3</v>
      </c>
      <c r="B159" t="s">
        <v>9</v>
      </c>
      <c r="C159">
        <v>221</v>
      </c>
      <c r="D159">
        <v>23</v>
      </c>
      <c r="E159">
        <v>2</v>
      </c>
      <c r="F159">
        <v>2</v>
      </c>
      <c r="G159">
        <v>74.03</v>
      </c>
    </row>
    <row r="160" spans="1:7" x14ac:dyDescent="0.3">
      <c r="A160">
        <v>3</v>
      </c>
      <c r="B160" t="s">
        <v>9</v>
      </c>
      <c r="C160">
        <v>221</v>
      </c>
      <c r="D160">
        <v>23</v>
      </c>
      <c r="E160">
        <v>2</v>
      </c>
      <c r="F160">
        <v>3</v>
      </c>
      <c r="G160">
        <v>78.53</v>
      </c>
    </row>
    <row r="161" spans="1:7" x14ac:dyDescent="0.3">
      <c r="A161">
        <v>3</v>
      </c>
      <c r="B161" t="s">
        <v>9</v>
      </c>
      <c r="C161">
        <v>221</v>
      </c>
      <c r="D161">
        <v>23</v>
      </c>
      <c r="E161">
        <v>2</v>
      </c>
      <c r="F161">
        <v>4</v>
      </c>
      <c r="G161">
        <v>76.709999999999994</v>
      </c>
    </row>
    <row r="162" spans="1:7" x14ac:dyDescent="0.3">
      <c r="A162">
        <v>3</v>
      </c>
      <c r="B162" t="s">
        <v>9</v>
      </c>
      <c r="C162">
        <v>222</v>
      </c>
      <c r="D162">
        <v>6</v>
      </c>
      <c r="E162">
        <v>1</v>
      </c>
      <c r="F162">
        <v>1</v>
      </c>
      <c r="G162">
        <v>93.32</v>
      </c>
    </row>
    <row r="163" spans="1:7" x14ac:dyDescent="0.3">
      <c r="A163">
        <v>3</v>
      </c>
      <c r="B163" t="s">
        <v>9</v>
      </c>
      <c r="C163">
        <v>222</v>
      </c>
      <c r="D163">
        <v>6</v>
      </c>
      <c r="E163">
        <v>1</v>
      </c>
      <c r="F163">
        <v>2</v>
      </c>
      <c r="G163">
        <v>85.71</v>
      </c>
    </row>
    <row r="164" spans="1:7" x14ac:dyDescent="0.3">
      <c r="A164">
        <v>3</v>
      </c>
      <c r="B164" t="s">
        <v>9</v>
      </c>
      <c r="C164">
        <v>222</v>
      </c>
      <c r="D164">
        <v>6</v>
      </c>
      <c r="E164">
        <v>1</v>
      </c>
      <c r="F164">
        <v>3</v>
      </c>
      <c r="G164">
        <v>77.36</v>
      </c>
    </row>
    <row r="165" spans="1:7" x14ac:dyDescent="0.3">
      <c r="A165">
        <v>3</v>
      </c>
      <c r="B165" t="s">
        <v>9</v>
      </c>
      <c r="C165">
        <v>222</v>
      </c>
      <c r="D165">
        <v>6</v>
      </c>
      <c r="E165">
        <v>1</v>
      </c>
      <c r="F165">
        <v>4</v>
      </c>
      <c r="G165">
        <v>91.29</v>
      </c>
    </row>
    <row r="166" spans="1:7" x14ac:dyDescent="0.3">
      <c r="A166">
        <v>4</v>
      </c>
      <c r="B166" t="s">
        <v>8</v>
      </c>
      <c r="C166">
        <v>301</v>
      </c>
      <c r="D166">
        <v>1</v>
      </c>
      <c r="E166">
        <v>2</v>
      </c>
      <c r="F166">
        <v>1</v>
      </c>
      <c r="G166">
        <v>49.61</v>
      </c>
    </row>
    <row r="167" spans="1:7" x14ac:dyDescent="0.3">
      <c r="A167">
        <v>4</v>
      </c>
      <c r="B167" t="s">
        <v>8</v>
      </c>
      <c r="C167">
        <v>301</v>
      </c>
      <c r="D167">
        <v>1</v>
      </c>
      <c r="E167">
        <v>2</v>
      </c>
      <c r="F167">
        <v>2</v>
      </c>
      <c r="G167">
        <v>43.69</v>
      </c>
    </row>
    <row r="168" spans="1:7" x14ac:dyDescent="0.3">
      <c r="A168">
        <v>4</v>
      </c>
      <c r="B168" t="s">
        <v>8</v>
      </c>
      <c r="C168">
        <v>301</v>
      </c>
      <c r="D168">
        <v>1</v>
      </c>
      <c r="E168">
        <v>2</v>
      </c>
      <c r="F168">
        <v>3</v>
      </c>
      <c r="G168">
        <v>54.49</v>
      </c>
    </row>
    <row r="169" spans="1:7" x14ac:dyDescent="0.3">
      <c r="A169">
        <v>4</v>
      </c>
      <c r="B169" t="s">
        <v>8</v>
      </c>
      <c r="C169">
        <v>301</v>
      </c>
      <c r="D169">
        <v>1</v>
      </c>
      <c r="E169">
        <v>2</v>
      </c>
      <c r="F169">
        <v>4</v>
      </c>
      <c r="G169">
        <v>61.25</v>
      </c>
    </row>
    <row r="170" spans="1:7" x14ac:dyDescent="0.3">
      <c r="A170">
        <v>4</v>
      </c>
      <c r="B170" t="s">
        <v>8</v>
      </c>
      <c r="C170">
        <v>302</v>
      </c>
      <c r="D170">
        <v>7</v>
      </c>
      <c r="E170">
        <v>3</v>
      </c>
      <c r="F170">
        <v>1</v>
      </c>
      <c r="G170">
        <v>51.47</v>
      </c>
    </row>
    <row r="171" spans="1:7" x14ac:dyDescent="0.3">
      <c r="A171">
        <v>4</v>
      </c>
      <c r="B171" t="s">
        <v>8</v>
      </c>
      <c r="C171">
        <v>302</v>
      </c>
      <c r="D171">
        <v>7</v>
      </c>
      <c r="E171">
        <v>3</v>
      </c>
      <c r="F171">
        <v>2</v>
      </c>
      <c r="G171">
        <v>53.47</v>
      </c>
    </row>
    <row r="172" spans="1:7" x14ac:dyDescent="0.3">
      <c r="A172">
        <v>4</v>
      </c>
      <c r="B172" t="s">
        <v>8</v>
      </c>
      <c r="C172">
        <v>302</v>
      </c>
      <c r="D172">
        <v>7</v>
      </c>
      <c r="E172">
        <v>3</v>
      </c>
      <c r="F172">
        <v>3</v>
      </c>
      <c r="G172">
        <v>46.83</v>
      </c>
    </row>
    <row r="173" spans="1:7" x14ac:dyDescent="0.3">
      <c r="A173">
        <v>4</v>
      </c>
      <c r="B173" t="s">
        <v>8</v>
      </c>
      <c r="C173">
        <v>302</v>
      </c>
      <c r="D173">
        <v>7</v>
      </c>
      <c r="E173">
        <v>3</v>
      </c>
      <c r="F173">
        <v>4</v>
      </c>
      <c r="G173">
        <v>56.7</v>
      </c>
    </row>
    <row r="174" spans="1:7" x14ac:dyDescent="0.3">
      <c r="A174">
        <v>4</v>
      </c>
      <c r="B174" t="s">
        <v>8</v>
      </c>
      <c r="C174">
        <v>303</v>
      </c>
      <c r="D174">
        <v>9</v>
      </c>
      <c r="E174">
        <v>1</v>
      </c>
      <c r="F174">
        <v>1</v>
      </c>
      <c r="G174">
        <v>55.94</v>
      </c>
    </row>
    <row r="175" spans="1:7" x14ac:dyDescent="0.3">
      <c r="A175">
        <v>4</v>
      </c>
      <c r="B175" t="s">
        <v>8</v>
      </c>
      <c r="C175">
        <v>303</v>
      </c>
      <c r="D175">
        <v>9</v>
      </c>
      <c r="E175">
        <v>1</v>
      </c>
      <c r="F175">
        <v>2</v>
      </c>
      <c r="G175">
        <v>61.36</v>
      </c>
    </row>
    <row r="176" spans="1:7" x14ac:dyDescent="0.3">
      <c r="A176">
        <v>4</v>
      </c>
      <c r="B176" t="s">
        <v>8</v>
      </c>
      <c r="C176">
        <v>303</v>
      </c>
      <c r="D176">
        <v>9</v>
      </c>
      <c r="E176">
        <v>1</v>
      </c>
      <c r="F176">
        <v>3</v>
      </c>
      <c r="G176">
        <v>56.19</v>
      </c>
    </row>
    <row r="177" spans="1:7" x14ac:dyDescent="0.3">
      <c r="A177">
        <v>4</v>
      </c>
      <c r="B177" t="s">
        <v>8</v>
      </c>
      <c r="C177">
        <v>303</v>
      </c>
      <c r="D177">
        <v>9</v>
      </c>
      <c r="E177">
        <v>1</v>
      </c>
      <c r="F177">
        <v>4</v>
      </c>
      <c r="G177">
        <v>62.06</v>
      </c>
    </row>
    <row r="178" spans="1:7" x14ac:dyDescent="0.3">
      <c r="A178">
        <v>4</v>
      </c>
      <c r="B178" t="s">
        <v>8</v>
      </c>
      <c r="C178">
        <v>304</v>
      </c>
      <c r="D178">
        <v>3</v>
      </c>
      <c r="E178">
        <v>1</v>
      </c>
      <c r="F178">
        <v>1</v>
      </c>
      <c r="G178">
        <v>54.01</v>
      </c>
    </row>
    <row r="179" spans="1:7" x14ac:dyDescent="0.3">
      <c r="A179">
        <v>4</v>
      </c>
      <c r="B179" t="s">
        <v>8</v>
      </c>
      <c r="C179">
        <v>304</v>
      </c>
      <c r="D179">
        <v>3</v>
      </c>
      <c r="E179">
        <v>1</v>
      </c>
      <c r="F179">
        <v>2</v>
      </c>
      <c r="G179">
        <v>63.48</v>
      </c>
    </row>
    <row r="180" spans="1:7" x14ac:dyDescent="0.3">
      <c r="A180">
        <v>4</v>
      </c>
      <c r="B180" t="s">
        <v>8</v>
      </c>
      <c r="C180">
        <v>304</v>
      </c>
      <c r="D180">
        <v>3</v>
      </c>
      <c r="E180">
        <v>1</v>
      </c>
      <c r="F180">
        <v>3</v>
      </c>
      <c r="G180">
        <v>61.96</v>
      </c>
    </row>
    <row r="181" spans="1:7" x14ac:dyDescent="0.3">
      <c r="A181">
        <v>4</v>
      </c>
      <c r="B181" t="s">
        <v>8</v>
      </c>
      <c r="C181">
        <v>304</v>
      </c>
      <c r="D181">
        <v>3</v>
      </c>
      <c r="E181">
        <v>1</v>
      </c>
      <c r="F181">
        <v>4</v>
      </c>
      <c r="G181">
        <v>55.3</v>
      </c>
    </row>
    <row r="182" spans="1:7" x14ac:dyDescent="0.3">
      <c r="A182">
        <v>4</v>
      </c>
      <c r="B182" t="s">
        <v>8</v>
      </c>
      <c r="C182">
        <v>305</v>
      </c>
      <c r="D182">
        <v>2</v>
      </c>
      <c r="E182">
        <v>2</v>
      </c>
      <c r="F182">
        <v>1</v>
      </c>
      <c r="G182">
        <v>47.89</v>
      </c>
    </row>
    <row r="183" spans="1:7" x14ac:dyDescent="0.3">
      <c r="A183">
        <v>4</v>
      </c>
      <c r="B183" t="s">
        <v>8</v>
      </c>
      <c r="C183">
        <v>305</v>
      </c>
      <c r="D183">
        <v>2</v>
      </c>
      <c r="E183">
        <v>2</v>
      </c>
      <c r="F183">
        <v>2</v>
      </c>
      <c r="G183">
        <v>52.37</v>
      </c>
    </row>
    <row r="184" spans="1:7" x14ac:dyDescent="0.3">
      <c r="A184">
        <v>4</v>
      </c>
      <c r="B184" t="s">
        <v>8</v>
      </c>
      <c r="C184">
        <v>305</v>
      </c>
      <c r="D184">
        <v>2</v>
      </c>
      <c r="E184">
        <v>2</v>
      </c>
      <c r="F184">
        <v>3</v>
      </c>
      <c r="G184">
        <v>49.11</v>
      </c>
    </row>
    <row r="185" spans="1:7" x14ac:dyDescent="0.3">
      <c r="A185">
        <v>4</v>
      </c>
      <c r="B185" t="s">
        <v>8</v>
      </c>
      <c r="C185">
        <v>305</v>
      </c>
      <c r="D185">
        <v>2</v>
      </c>
      <c r="E185">
        <v>2</v>
      </c>
      <c r="F185">
        <v>4</v>
      </c>
      <c r="G185">
        <v>52.88</v>
      </c>
    </row>
    <row r="186" spans="1:7" x14ac:dyDescent="0.3">
      <c r="A186">
        <v>4</v>
      </c>
      <c r="B186" t="s">
        <v>8</v>
      </c>
      <c r="C186">
        <v>306</v>
      </c>
      <c r="D186">
        <v>13</v>
      </c>
      <c r="E186">
        <v>1</v>
      </c>
      <c r="F186">
        <v>1</v>
      </c>
      <c r="G186">
        <v>53.79</v>
      </c>
    </row>
    <row r="187" spans="1:7" x14ac:dyDescent="0.3">
      <c r="A187">
        <v>4</v>
      </c>
      <c r="B187" t="s">
        <v>8</v>
      </c>
      <c r="C187">
        <v>306</v>
      </c>
      <c r="D187">
        <v>13</v>
      </c>
      <c r="E187">
        <v>1</v>
      </c>
      <c r="F187">
        <v>2</v>
      </c>
      <c r="G187">
        <v>66.959999999999994</v>
      </c>
    </row>
    <row r="188" spans="1:7" x14ac:dyDescent="0.3">
      <c r="A188">
        <v>4</v>
      </c>
      <c r="B188" t="s">
        <v>8</v>
      </c>
      <c r="C188">
        <v>306</v>
      </c>
      <c r="D188">
        <v>13</v>
      </c>
      <c r="E188">
        <v>1</v>
      </c>
      <c r="F188">
        <v>3</v>
      </c>
      <c r="G188">
        <v>57.1</v>
      </c>
    </row>
    <row r="189" spans="1:7" x14ac:dyDescent="0.3">
      <c r="A189">
        <v>4</v>
      </c>
      <c r="B189" t="s">
        <v>8</v>
      </c>
      <c r="C189">
        <v>306</v>
      </c>
      <c r="D189">
        <v>13</v>
      </c>
      <c r="E189">
        <v>1</v>
      </c>
      <c r="F189">
        <v>4</v>
      </c>
      <c r="G189">
        <v>65.12</v>
      </c>
    </row>
    <row r="190" spans="1:7" x14ac:dyDescent="0.3">
      <c r="A190">
        <v>4</v>
      </c>
      <c r="B190" t="s">
        <v>8</v>
      </c>
      <c r="C190">
        <v>307</v>
      </c>
      <c r="D190">
        <v>7</v>
      </c>
      <c r="E190">
        <v>2</v>
      </c>
      <c r="F190">
        <v>1</v>
      </c>
      <c r="G190">
        <v>46.98</v>
      </c>
    </row>
    <row r="191" spans="1:7" x14ac:dyDescent="0.3">
      <c r="A191">
        <v>4</v>
      </c>
      <c r="B191" t="s">
        <v>8</v>
      </c>
      <c r="C191">
        <v>307</v>
      </c>
      <c r="D191">
        <v>7</v>
      </c>
      <c r="E191">
        <v>2</v>
      </c>
      <c r="F191">
        <v>2</v>
      </c>
      <c r="G191">
        <v>53.41</v>
      </c>
    </row>
    <row r="192" spans="1:7" x14ac:dyDescent="0.3">
      <c r="A192">
        <v>4</v>
      </c>
      <c r="B192" t="s">
        <v>8</v>
      </c>
      <c r="C192">
        <v>307</v>
      </c>
      <c r="D192">
        <v>7</v>
      </c>
      <c r="E192">
        <v>2</v>
      </c>
      <c r="F192">
        <v>3</v>
      </c>
      <c r="G192">
        <v>36.17</v>
      </c>
    </row>
    <row r="193" spans="1:7" x14ac:dyDescent="0.3">
      <c r="A193">
        <v>4</v>
      </c>
      <c r="B193" t="s">
        <v>8</v>
      </c>
      <c r="C193">
        <v>307</v>
      </c>
      <c r="D193">
        <v>7</v>
      </c>
      <c r="E193">
        <v>2</v>
      </c>
      <c r="F193">
        <v>4</v>
      </c>
      <c r="G193">
        <v>55.98</v>
      </c>
    </row>
    <row r="194" spans="1:7" x14ac:dyDescent="0.3">
      <c r="A194">
        <v>4</v>
      </c>
      <c r="B194" t="s">
        <v>8</v>
      </c>
      <c r="C194">
        <v>308</v>
      </c>
      <c r="D194">
        <v>28</v>
      </c>
      <c r="E194">
        <v>2</v>
      </c>
      <c r="F194">
        <v>1</v>
      </c>
      <c r="G194">
        <v>51.87</v>
      </c>
    </row>
    <row r="195" spans="1:7" x14ac:dyDescent="0.3">
      <c r="A195">
        <v>4</v>
      </c>
      <c r="B195" t="s">
        <v>8</v>
      </c>
      <c r="C195">
        <v>308</v>
      </c>
      <c r="D195">
        <v>28</v>
      </c>
      <c r="E195">
        <v>2</v>
      </c>
      <c r="F195">
        <v>2</v>
      </c>
      <c r="G195">
        <v>58.01</v>
      </c>
    </row>
    <row r="196" spans="1:7" x14ac:dyDescent="0.3">
      <c r="A196">
        <v>4</v>
      </c>
      <c r="B196" t="s">
        <v>8</v>
      </c>
      <c r="C196">
        <v>308</v>
      </c>
      <c r="D196">
        <v>28</v>
      </c>
      <c r="E196">
        <v>2</v>
      </c>
      <c r="F196">
        <v>3</v>
      </c>
      <c r="G196">
        <v>47.93</v>
      </c>
    </row>
    <row r="197" spans="1:7" x14ac:dyDescent="0.3">
      <c r="A197">
        <v>4</v>
      </c>
      <c r="B197" t="s">
        <v>8</v>
      </c>
      <c r="C197">
        <v>308</v>
      </c>
      <c r="D197">
        <v>28</v>
      </c>
      <c r="E197">
        <v>2</v>
      </c>
      <c r="F197">
        <v>4</v>
      </c>
      <c r="G197">
        <v>51.33</v>
      </c>
    </row>
    <row r="198" spans="1:7" x14ac:dyDescent="0.3">
      <c r="A198">
        <v>4</v>
      </c>
      <c r="B198" t="s">
        <v>8</v>
      </c>
      <c r="C198">
        <v>309</v>
      </c>
      <c r="D198">
        <v>8</v>
      </c>
      <c r="E198">
        <v>1</v>
      </c>
      <c r="F198">
        <v>1</v>
      </c>
      <c r="G198">
        <v>62.16</v>
      </c>
    </row>
    <row r="199" spans="1:7" x14ac:dyDescent="0.3">
      <c r="A199">
        <v>4</v>
      </c>
      <c r="B199" t="s">
        <v>8</v>
      </c>
      <c r="C199">
        <v>309</v>
      </c>
      <c r="D199">
        <v>8</v>
      </c>
      <c r="E199">
        <v>1</v>
      </c>
      <c r="F199">
        <v>2</v>
      </c>
      <c r="G199">
        <v>54.06</v>
      </c>
    </row>
    <row r="200" spans="1:7" x14ac:dyDescent="0.3">
      <c r="A200">
        <v>4</v>
      </c>
      <c r="B200" t="s">
        <v>8</v>
      </c>
      <c r="C200">
        <v>309</v>
      </c>
      <c r="D200">
        <v>8</v>
      </c>
      <c r="E200">
        <v>1</v>
      </c>
      <c r="F200">
        <v>3</v>
      </c>
      <c r="G200">
        <v>51.72</v>
      </c>
    </row>
    <row r="201" spans="1:7" x14ac:dyDescent="0.3">
      <c r="A201">
        <v>4</v>
      </c>
      <c r="B201" t="s">
        <v>8</v>
      </c>
      <c r="C201">
        <v>309</v>
      </c>
      <c r="D201">
        <v>8</v>
      </c>
      <c r="E201">
        <v>1</v>
      </c>
      <c r="F201">
        <v>4</v>
      </c>
      <c r="G201">
        <v>59.64</v>
      </c>
    </row>
    <row r="202" spans="1:7" x14ac:dyDescent="0.3">
      <c r="A202">
        <v>5</v>
      </c>
      <c r="B202" t="s">
        <v>7</v>
      </c>
      <c r="C202">
        <v>401</v>
      </c>
      <c r="D202">
        <v>5</v>
      </c>
      <c r="E202">
        <v>3</v>
      </c>
      <c r="F202">
        <v>1</v>
      </c>
      <c r="G202">
        <v>52.23</v>
      </c>
    </row>
    <row r="203" spans="1:7" x14ac:dyDescent="0.3">
      <c r="A203">
        <v>5</v>
      </c>
      <c r="B203" t="s">
        <v>7</v>
      </c>
      <c r="C203">
        <v>401</v>
      </c>
      <c r="D203">
        <v>5</v>
      </c>
      <c r="E203">
        <v>3</v>
      </c>
      <c r="F203">
        <v>2</v>
      </c>
      <c r="G203">
        <v>51.68</v>
      </c>
    </row>
    <row r="204" spans="1:7" x14ac:dyDescent="0.3">
      <c r="A204">
        <v>5</v>
      </c>
      <c r="B204" t="s">
        <v>7</v>
      </c>
      <c r="C204">
        <v>401</v>
      </c>
      <c r="D204">
        <v>5</v>
      </c>
      <c r="E204">
        <v>3</v>
      </c>
      <c r="F204">
        <v>3</v>
      </c>
      <c r="G204">
        <v>46.22</v>
      </c>
    </row>
    <row r="205" spans="1:7" x14ac:dyDescent="0.3">
      <c r="A205">
        <v>5</v>
      </c>
      <c r="B205" t="s">
        <v>7</v>
      </c>
      <c r="C205">
        <v>401</v>
      </c>
      <c r="D205">
        <v>5</v>
      </c>
      <c r="E205">
        <v>3</v>
      </c>
      <c r="F205">
        <v>4</v>
      </c>
      <c r="G205">
        <v>46.03</v>
      </c>
    </row>
    <row r="206" spans="1:7" x14ac:dyDescent="0.3">
      <c r="A206">
        <v>5</v>
      </c>
      <c r="B206" t="s">
        <v>7</v>
      </c>
      <c r="C206">
        <v>402</v>
      </c>
      <c r="D206">
        <v>25</v>
      </c>
      <c r="E206">
        <v>2</v>
      </c>
      <c r="F206">
        <v>1</v>
      </c>
      <c r="G206">
        <v>40.4</v>
      </c>
    </row>
    <row r="207" spans="1:7" x14ac:dyDescent="0.3">
      <c r="A207">
        <v>5</v>
      </c>
      <c r="B207" t="s">
        <v>7</v>
      </c>
      <c r="C207">
        <v>402</v>
      </c>
      <c r="D207">
        <v>25</v>
      </c>
      <c r="E207">
        <v>2</v>
      </c>
      <c r="F207">
        <v>2</v>
      </c>
      <c r="G207">
        <v>50.28</v>
      </c>
    </row>
    <row r="208" spans="1:7" x14ac:dyDescent="0.3">
      <c r="A208">
        <v>5</v>
      </c>
      <c r="B208" t="s">
        <v>7</v>
      </c>
      <c r="C208">
        <v>402</v>
      </c>
      <c r="D208">
        <v>25</v>
      </c>
      <c r="E208">
        <v>2</v>
      </c>
      <c r="F208">
        <v>3</v>
      </c>
      <c r="G208">
        <v>52.72</v>
      </c>
    </row>
    <row r="209" spans="1:7" x14ac:dyDescent="0.3">
      <c r="A209">
        <v>5</v>
      </c>
      <c r="B209" t="s">
        <v>7</v>
      </c>
      <c r="C209">
        <v>402</v>
      </c>
      <c r="D209">
        <v>25</v>
      </c>
      <c r="E209">
        <v>2</v>
      </c>
      <c r="F209">
        <v>4</v>
      </c>
      <c r="G209">
        <v>38.299999999999997</v>
      </c>
    </row>
    <row r="210" spans="1:7" x14ac:dyDescent="0.3">
      <c r="A210">
        <v>5</v>
      </c>
      <c r="B210" t="s">
        <v>7</v>
      </c>
      <c r="C210">
        <v>403</v>
      </c>
      <c r="D210">
        <v>19</v>
      </c>
      <c r="E210">
        <v>2</v>
      </c>
      <c r="F210">
        <v>1</v>
      </c>
      <c r="G210">
        <v>51.79</v>
      </c>
    </row>
    <row r="211" spans="1:7" x14ac:dyDescent="0.3">
      <c r="A211">
        <v>5</v>
      </c>
      <c r="B211" t="s">
        <v>7</v>
      </c>
      <c r="C211">
        <v>403</v>
      </c>
      <c r="D211">
        <v>19</v>
      </c>
      <c r="E211">
        <v>2</v>
      </c>
      <c r="F211">
        <v>2</v>
      </c>
      <c r="G211">
        <v>42.56</v>
      </c>
    </row>
    <row r="212" spans="1:7" x14ac:dyDescent="0.3">
      <c r="A212">
        <v>5</v>
      </c>
      <c r="B212" t="s">
        <v>7</v>
      </c>
      <c r="C212">
        <v>403</v>
      </c>
      <c r="D212">
        <v>19</v>
      </c>
      <c r="E212">
        <v>2</v>
      </c>
      <c r="F212">
        <v>3</v>
      </c>
      <c r="G212">
        <v>44.64</v>
      </c>
    </row>
    <row r="213" spans="1:7" x14ac:dyDescent="0.3">
      <c r="A213">
        <v>5</v>
      </c>
      <c r="B213" t="s">
        <v>7</v>
      </c>
      <c r="C213">
        <v>403</v>
      </c>
      <c r="D213">
        <v>19</v>
      </c>
      <c r="E213">
        <v>2</v>
      </c>
      <c r="F213">
        <v>4</v>
      </c>
      <c r="G213">
        <v>45.11</v>
      </c>
    </row>
    <row r="214" spans="1:7" x14ac:dyDescent="0.3">
      <c r="A214">
        <v>5</v>
      </c>
      <c r="B214" t="s">
        <v>7</v>
      </c>
      <c r="C214">
        <v>404</v>
      </c>
      <c r="D214">
        <v>8</v>
      </c>
      <c r="E214">
        <v>2</v>
      </c>
      <c r="F214">
        <v>1</v>
      </c>
      <c r="G214">
        <v>42.15</v>
      </c>
    </row>
    <row r="215" spans="1:7" x14ac:dyDescent="0.3">
      <c r="A215">
        <v>5</v>
      </c>
      <c r="B215" t="s">
        <v>7</v>
      </c>
      <c r="C215">
        <v>404</v>
      </c>
      <c r="D215">
        <v>8</v>
      </c>
      <c r="E215">
        <v>2</v>
      </c>
      <c r="F215">
        <v>2</v>
      </c>
      <c r="G215">
        <v>42.59</v>
      </c>
    </row>
    <row r="216" spans="1:7" x14ac:dyDescent="0.3">
      <c r="A216">
        <v>5</v>
      </c>
      <c r="B216" t="s">
        <v>7</v>
      </c>
      <c r="C216">
        <v>404</v>
      </c>
      <c r="D216">
        <v>8</v>
      </c>
      <c r="E216">
        <v>2</v>
      </c>
      <c r="F216">
        <v>3</v>
      </c>
      <c r="G216">
        <v>49.56</v>
      </c>
    </row>
    <row r="217" spans="1:7" x14ac:dyDescent="0.3">
      <c r="A217">
        <v>5</v>
      </c>
      <c r="B217" t="s">
        <v>7</v>
      </c>
      <c r="C217">
        <v>404</v>
      </c>
      <c r="D217">
        <v>8</v>
      </c>
      <c r="E217">
        <v>2</v>
      </c>
      <c r="F217">
        <v>4</v>
      </c>
      <c r="G217">
        <v>39.25</v>
      </c>
    </row>
    <row r="218" spans="1:7" x14ac:dyDescent="0.3">
      <c r="A218">
        <v>5</v>
      </c>
      <c r="B218" t="s">
        <v>7</v>
      </c>
      <c r="C218">
        <v>405</v>
      </c>
      <c r="D218">
        <v>4</v>
      </c>
      <c r="E218">
        <v>2</v>
      </c>
      <c r="F218">
        <v>1</v>
      </c>
      <c r="G218">
        <v>48.18</v>
      </c>
    </row>
    <row r="219" spans="1:7" x14ac:dyDescent="0.3">
      <c r="A219">
        <v>5</v>
      </c>
      <c r="B219" t="s">
        <v>7</v>
      </c>
      <c r="C219">
        <v>405</v>
      </c>
      <c r="D219">
        <v>4</v>
      </c>
      <c r="E219">
        <v>2</v>
      </c>
      <c r="F219">
        <v>2</v>
      </c>
      <c r="G219">
        <v>48.25</v>
      </c>
    </row>
    <row r="220" spans="1:7" x14ac:dyDescent="0.3">
      <c r="A220">
        <v>5</v>
      </c>
      <c r="B220" t="s">
        <v>7</v>
      </c>
      <c r="C220">
        <v>405</v>
      </c>
      <c r="D220">
        <v>4</v>
      </c>
      <c r="E220">
        <v>2</v>
      </c>
      <c r="F220">
        <v>3</v>
      </c>
      <c r="G220">
        <v>46.42</v>
      </c>
    </row>
    <row r="221" spans="1:7" x14ac:dyDescent="0.3">
      <c r="A221">
        <v>5</v>
      </c>
      <c r="B221" t="s">
        <v>7</v>
      </c>
      <c r="C221">
        <v>405</v>
      </c>
      <c r="D221">
        <v>4</v>
      </c>
      <c r="E221">
        <v>2</v>
      </c>
      <c r="F221">
        <v>4</v>
      </c>
      <c r="G221">
        <v>43.77</v>
      </c>
    </row>
    <row r="222" spans="1:7" x14ac:dyDescent="0.3">
      <c r="A222">
        <v>5</v>
      </c>
      <c r="B222" t="s">
        <v>7</v>
      </c>
      <c r="C222">
        <v>406</v>
      </c>
      <c r="D222">
        <v>3</v>
      </c>
      <c r="E222">
        <v>2</v>
      </c>
      <c r="F222">
        <v>1</v>
      </c>
      <c r="G222">
        <v>45.3</v>
      </c>
    </row>
    <row r="223" spans="1:7" x14ac:dyDescent="0.3">
      <c r="A223">
        <v>5</v>
      </c>
      <c r="B223" t="s">
        <v>7</v>
      </c>
      <c r="C223">
        <v>406</v>
      </c>
      <c r="D223">
        <v>3</v>
      </c>
      <c r="E223">
        <v>2</v>
      </c>
      <c r="F223">
        <v>2</v>
      </c>
      <c r="G223">
        <v>48.84</v>
      </c>
    </row>
    <row r="224" spans="1:7" x14ac:dyDescent="0.3">
      <c r="A224">
        <v>5</v>
      </c>
      <c r="B224" t="s">
        <v>7</v>
      </c>
      <c r="C224">
        <v>406</v>
      </c>
      <c r="D224">
        <v>3</v>
      </c>
      <c r="E224">
        <v>2</v>
      </c>
      <c r="F224">
        <v>3</v>
      </c>
      <c r="G224">
        <v>45.08</v>
      </c>
    </row>
    <row r="225" spans="1:7" x14ac:dyDescent="0.3">
      <c r="A225">
        <v>5</v>
      </c>
      <c r="B225" t="s">
        <v>7</v>
      </c>
      <c r="C225">
        <v>406</v>
      </c>
      <c r="D225">
        <v>3</v>
      </c>
      <c r="E225">
        <v>2</v>
      </c>
      <c r="F225">
        <v>4</v>
      </c>
      <c r="G225">
        <v>44.67</v>
      </c>
    </row>
    <row r="226" spans="1:7" x14ac:dyDescent="0.3">
      <c r="A226">
        <v>5</v>
      </c>
      <c r="B226" t="s">
        <v>7</v>
      </c>
      <c r="C226">
        <v>407</v>
      </c>
      <c r="D226">
        <v>6</v>
      </c>
      <c r="E226">
        <v>3</v>
      </c>
      <c r="F226">
        <v>1</v>
      </c>
      <c r="G226">
        <v>45.56</v>
      </c>
    </row>
    <row r="227" spans="1:7" x14ac:dyDescent="0.3">
      <c r="A227">
        <v>5</v>
      </c>
      <c r="B227" t="s">
        <v>7</v>
      </c>
      <c r="C227">
        <v>407</v>
      </c>
      <c r="D227">
        <v>6</v>
      </c>
      <c r="E227">
        <v>3</v>
      </c>
      <c r="F227">
        <v>2</v>
      </c>
      <c r="G227">
        <v>55.19</v>
      </c>
    </row>
    <row r="228" spans="1:7" x14ac:dyDescent="0.3">
      <c r="A228">
        <v>5</v>
      </c>
      <c r="B228" t="s">
        <v>7</v>
      </c>
      <c r="C228">
        <v>407</v>
      </c>
      <c r="D228">
        <v>6</v>
      </c>
      <c r="E228">
        <v>3</v>
      </c>
      <c r="F228">
        <v>3</v>
      </c>
      <c r="G228">
        <v>37.840000000000003</v>
      </c>
    </row>
    <row r="229" spans="1:7" x14ac:dyDescent="0.3">
      <c r="A229">
        <v>5</v>
      </c>
      <c r="B229" t="s">
        <v>7</v>
      </c>
      <c r="C229">
        <v>407</v>
      </c>
      <c r="D229">
        <v>6</v>
      </c>
      <c r="E229">
        <v>3</v>
      </c>
      <c r="F229">
        <v>4</v>
      </c>
      <c r="G229">
        <v>50.07</v>
      </c>
    </row>
    <row r="230" spans="1:7" x14ac:dyDescent="0.3">
      <c r="A230">
        <v>5</v>
      </c>
      <c r="B230" t="s">
        <v>7</v>
      </c>
      <c r="C230">
        <v>408</v>
      </c>
      <c r="D230">
        <v>9</v>
      </c>
      <c r="E230">
        <v>2</v>
      </c>
      <c r="F230">
        <v>1</v>
      </c>
      <c r="G230">
        <v>47.33</v>
      </c>
    </row>
    <row r="231" spans="1:7" x14ac:dyDescent="0.3">
      <c r="A231">
        <v>5</v>
      </c>
      <c r="B231" t="s">
        <v>7</v>
      </c>
      <c r="C231">
        <v>408</v>
      </c>
      <c r="D231">
        <v>9</v>
      </c>
      <c r="E231">
        <v>2</v>
      </c>
      <c r="F231">
        <v>2</v>
      </c>
      <c r="G231">
        <v>45.42</v>
      </c>
    </row>
    <row r="232" spans="1:7" x14ac:dyDescent="0.3">
      <c r="A232">
        <v>5</v>
      </c>
      <c r="B232" t="s">
        <v>7</v>
      </c>
      <c r="C232">
        <v>408</v>
      </c>
      <c r="D232">
        <v>9</v>
      </c>
      <c r="E232">
        <v>2</v>
      </c>
      <c r="F232">
        <v>3</v>
      </c>
      <c r="G232">
        <v>44.31</v>
      </c>
    </row>
    <row r="233" spans="1:7" x14ac:dyDescent="0.3">
      <c r="A233">
        <v>5</v>
      </c>
      <c r="B233" t="s">
        <v>7</v>
      </c>
      <c r="C233">
        <v>408</v>
      </c>
      <c r="D233">
        <v>9</v>
      </c>
      <c r="E233">
        <v>2</v>
      </c>
      <c r="F233">
        <v>4</v>
      </c>
      <c r="G233">
        <v>40.26</v>
      </c>
    </row>
    <row r="234" spans="1:7" x14ac:dyDescent="0.3">
      <c r="A234">
        <v>5</v>
      </c>
      <c r="B234" t="s">
        <v>7</v>
      </c>
      <c r="C234">
        <v>409</v>
      </c>
      <c r="D234">
        <v>14</v>
      </c>
      <c r="E234">
        <v>2</v>
      </c>
      <c r="F234">
        <v>1</v>
      </c>
      <c r="G234">
        <v>43.27</v>
      </c>
    </row>
    <row r="235" spans="1:7" x14ac:dyDescent="0.3">
      <c r="A235">
        <v>5</v>
      </c>
      <c r="B235" t="s">
        <v>7</v>
      </c>
      <c r="C235">
        <v>409</v>
      </c>
      <c r="D235">
        <v>14</v>
      </c>
      <c r="E235">
        <v>2</v>
      </c>
      <c r="F235">
        <v>2</v>
      </c>
      <c r="G235">
        <v>48.33</v>
      </c>
    </row>
    <row r="236" spans="1:7" x14ac:dyDescent="0.3">
      <c r="A236">
        <v>5</v>
      </c>
      <c r="B236" t="s">
        <v>7</v>
      </c>
      <c r="C236">
        <v>409</v>
      </c>
      <c r="D236">
        <v>14</v>
      </c>
      <c r="E236">
        <v>2</v>
      </c>
      <c r="F236">
        <v>3</v>
      </c>
      <c r="G236">
        <v>44.14</v>
      </c>
    </row>
    <row r="237" spans="1:7" x14ac:dyDescent="0.3">
      <c r="A237">
        <v>5</v>
      </c>
      <c r="B237" t="s">
        <v>7</v>
      </c>
      <c r="C237">
        <v>409</v>
      </c>
      <c r="D237">
        <v>14</v>
      </c>
      <c r="E237">
        <v>2</v>
      </c>
      <c r="F237">
        <v>4</v>
      </c>
      <c r="G237">
        <v>51.5</v>
      </c>
    </row>
    <row r="238" spans="1:7" x14ac:dyDescent="0.3">
      <c r="A238">
        <v>5</v>
      </c>
      <c r="B238" t="s">
        <v>7</v>
      </c>
      <c r="C238">
        <v>410</v>
      </c>
      <c r="D238">
        <v>11</v>
      </c>
      <c r="E238">
        <v>1</v>
      </c>
      <c r="F238">
        <v>1</v>
      </c>
      <c r="G238">
        <v>49.95</v>
      </c>
    </row>
    <row r="239" spans="1:7" x14ac:dyDescent="0.3">
      <c r="A239">
        <v>5</v>
      </c>
      <c r="B239" t="s">
        <v>7</v>
      </c>
      <c r="C239">
        <v>410</v>
      </c>
      <c r="D239">
        <v>11</v>
      </c>
      <c r="E239">
        <v>1</v>
      </c>
      <c r="F239">
        <v>2</v>
      </c>
      <c r="G239">
        <v>55.11</v>
      </c>
    </row>
    <row r="240" spans="1:7" x14ac:dyDescent="0.3">
      <c r="A240">
        <v>5</v>
      </c>
      <c r="B240" t="s">
        <v>7</v>
      </c>
      <c r="C240">
        <v>410</v>
      </c>
      <c r="D240">
        <v>11</v>
      </c>
      <c r="E240">
        <v>1</v>
      </c>
      <c r="F240">
        <v>3</v>
      </c>
      <c r="G240">
        <v>55.28</v>
      </c>
    </row>
    <row r="241" spans="1:7" x14ac:dyDescent="0.3">
      <c r="A241">
        <v>5</v>
      </c>
      <c r="B241" t="s">
        <v>7</v>
      </c>
      <c r="C241">
        <v>410</v>
      </c>
      <c r="D241">
        <v>11</v>
      </c>
      <c r="E241">
        <v>1</v>
      </c>
      <c r="F241">
        <v>4</v>
      </c>
      <c r="G241">
        <v>54.7</v>
      </c>
    </row>
    <row r="242" spans="1:7" x14ac:dyDescent="0.3">
      <c r="A242">
        <v>5</v>
      </c>
      <c r="B242" t="s">
        <v>7</v>
      </c>
      <c r="C242">
        <v>411</v>
      </c>
      <c r="D242">
        <v>23</v>
      </c>
      <c r="E242">
        <v>3</v>
      </c>
      <c r="F242">
        <v>1</v>
      </c>
      <c r="G242">
        <v>50.11</v>
      </c>
    </row>
    <row r="243" spans="1:7" x14ac:dyDescent="0.3">
      <c r="A243">
        <v>5</v>
      </c>
      <c r="B243" t="s">
        <v>7</v>
      </c>
      <c r="C243">
        <v>411</v>
      </c>
      <c r="D243">
        <v>23</v>
      </c>
      <c r="E243">
        <v>3</v>
      </c>
      <c r="F243">
        <v>2</v>
      </c>
      <c r="G243">
        <v>55.59</v>
      </c>
    </row>
    <row r="244" spans="1:7" x14ac:dyDescent="0.3">
      <c r="A244">
        <v>5</v>
      </c>
      <c r="B244" t="s">
        <v>7</v>
      </c>
      <c r="C244">
        <v>411</v>
      </c>
      <c r="D244">
        <v>23</v>
      </c>
      <c r="E244">
        <v>3</v>
      </c>
      <c r="F244">
        <v>3</v>
      </c>
      <c r="G244">
        <v>54.37</v>
      </c>
    </row>
    <row r="245" spans="1:7" x14ac:dyDescent="0.3">
      <c r="A245">
        <v>5</v>
      </c>
      <c r="B245" t="s">
        <v>7</v>
      </c>
      <c r="C245">
        <v>411</v>
      </c>
      <c r="D245">
        <v>23</v>
      </c>
      <c r="E245">
        <v>3</v>
      </c>
      <c r="F245">
        <v>4</v>
      </c>
      <c r="G245">
        <v>51.91</v>
      </c>
    </row>
    <row r="246" spans="1:7" x14ac:dyDescent="0.3">
      <c r="A246">
        <v>5</v>
      </c>
      <c r="B246" t="s">
        <v>7</v>
      </c>
      <c r="C246">
        <v>412</v>
      </c>
      <c r="D246">
        <v>6</v>
      </c>
      <c r="E246">
        <v>1</v>
      </c>
      <c r="F246">
        <v>1</v>
      </c>
      <c r="G246">
        <v>59.34</v>
      </c>
    </row>
    <row r="247" spans="1:7" x14ac:dyDescent="0.3">
      <c r="A247">
        <v>5</v>
      </c>
      <c r="B247" t="s">
        <v>7</v>
      </c>
      <c r="C247">
        <v>412</v>
      </c>
      <c r="D247">
        <v>6</v>
      </c>
      <c r="E247">
        <v>1</v>
      </c>
      <c r="F247">
        <v>2</v>
      </c>
      <c r="G247">
        <v>62.63</v>
      </c>
    </row>
    <row r="248" spans="1:7" x14ac:dyDescent="0.3">
      <c r="A248">
        <v>5</v>
      </c>
      <c r="B248" t="s">
        <v>7</v>
      </c>
      <c r="C248">
        <v>412</v>
      </c>
      <c r="D248">
        <v>6</v>
      </c>
      <c r="E248">
        <v>1</v>
      </c>
      <c r="F248">
        <v>3</v>
      </c>
      <c r="G248">
        <v>49.08</v>
      </c>
    </row>
    <row r="249" spans="1:7" x14ac:dyDescent="0.3">
      <c r="A249">
        <v>5</v>
      </c>
      <c r="B249" t="s">
        <v>7</v>
      </c>
      <c r="C249">
        <v>412</v>
      </c>
      <c r="D249">
        <v>6</v>
      </c>
      <c r="E249">
        <v>1</v>
      </c>
      <c r="F249">
        <v>4</v>
      </c>
      <c r="G249">
        <v>58.04</v>
      </c>
    </row>
    <row r="250" spans="1:7" x14ac:dyDescent="0.3">
      <c r="A250">
        <v>5</v>
      </c>
      <c r="B250" t="s">
        <v>7</v>
      </c>
      <c r="C250">
        <v>413</v>
      </c>
      <c r="D250">
        <v>1</v>
      </c>
      <c r="E250">
        <v>2</v>
      </c>
      <c r="F250">
        <v>1</v>
      </c>
      <c r="G250">
        <v>46.26</v>
      </c>
    </row>
    <row r="251" spans="1:7" x14ac:dyDescent="0.3">
      <c r="A251">
        <v>5</v>
      </c>
      <c r="B251" t="s">
        <v>7</v>
      </c>
      <c r="C251">
        <v>413</v>
      </c>
      <c r="D251">
        <v>1</v>
      </c>
      <c r="E251">
        <v>2</v>
      </c>
      <c r="F251">
        <v>2</v>
      </c>
      <c r="G251">
        <v>47.71</v>
      </c>
    </row>
    <row r="252" spans="1:7" x14ac:dyDescent="0.3">
      <c r="A252">
        <v>5</v>
      </c>
      <c r="B252" t="s">
        <v>7</v>
      </c>
      <c r="C252">
        <v>413</v>
      </c>
      <c r="D252">
        <v>1</v>
      </c>
      <c r="E252">
        <v>2</v>
      </c>
      <c r="F252">
        <v>3</v>
      </c>
      <c r="G252">
        <v>54.09</v>
      </c>
    </row>
    <row r="253" spans="1:7" x14ac:dyDescent="0.3">
      <c r="A253">
        <v>5</v>
      </c>
      <c r="B253" t="s">
        <v>7</v>
      </c>
      <c r="C253">
        <v>413</v>
      </c>
      <c r="D253">
        <v>1</v>
      </c>
      <c r="E253">
        <v>2</v>
      </c>
      <c r="F253">
        <v>4</v>
      </c>
      <c r="G253">
        <v>46.89</v>
      </c>
    </row>
    <row r="254" spans="1:7" x14ac:dyDescent="0.3">
      <c r="A254">
        <v>5</v>
      </c>
      <c r="B254" t="s">
        <v>7</v>
      </c>
      <c r="C254">
        <v>414</v>
      </c>
      <c r="D254">
        <v>1</v>
      </c>
      <c r="E254">
        <v>3</v>
      </c>
      <c r="F254">
        <v>1</v>
      </c>
      <c r="G254">
        <v>57.37</v>
      </c>
    </row>
    <row r="255" spans="1:7" x14ac:dyDescent="0.3">
      <c r="A255">
        <v>5</v>
      </c>
      <c r="B255" t="s">
        <v>7</v>
      </c>
      <c r="C255">
        <v>414</v>
      </c>
      <c r="D255">
        <v>1</v>
      </c>
      <c r="E255">
        <v>3</v>
      </c>
      <c r="F255">
        <v>2</v>
      </c>
      <c r="G255">
        <v>55.53</v>
      </c>
    </row>
    <row r="256" spans="1:7" x14ac:dyDescent="0.3">
      <c r="A256">
        <v>5</v>
      </c>
      <c r="B256" t="s">
        <v>7</v>
      </c>
      <c r="C256">
        <v>414</v>
      </c>
      <c r="D256">
        <v>1</v>
      </c>
      <c r="E256">
        <v>3</v>
      </c>
      <c r="F256">
        <v>3</v>
      </c>
      <c r="G256">
        <v>51.16</v>
      </c>
    </row>
    <row r="257" spans="1:7" x14ac:dyDescent="0.3">
      <c r="A257">
        <v>5</v>
      </c>
      <c r="B257" t="s">
        <v>7</v>
      </c>
      <c r="C257">
        <v>414</v>
      </c>
      <c r="D257">
        <v>1</v>
      </c>
      <c r="E257">
        <v>3</v>
      </c>
      <c r="F257">
        <v>4</v>
      </c>
      <c r="G257">
        <v>57.06</v>
      </c>
    </row>
    <row r="258" spans="1:7" x14ac:dyDescent="0.3">
      <c r="A258">
        <v>5</v>
      </c>
      <c r="B258" t="s">
        <v>7</v>
      </c>
      <c r="C258">
        <v>415</v>
      </c>
      <c r="D258">
        <v>12</v>
      </c>
      <c r="E258">
        <v>3</v>
      </c>
      <c r="F258">
        <v>1</v>
      </c>
      <c r="G258">
        <v>50.59</v>
      </c>
    </row>
    <row r="259" spans="1:7" x14ac:dyDescent="0.3">
      <c r="A259">
        <v>5</v>
      </c>
      <c r="B259" t="s">
        <v>7</v>
      </c>
      <c r="C259">
        <v>415</v>
      </c>
      <c r="D259">
        <v>12</v>
      </c>
      <c r="E259">
        <v>3</v>
      </c>
      <c r="F259">
        <v>2</v>
      </c>
      <c r="G259">
        <v>48.64</v>
      </c>
    </row>
    <row r="260" spans="1:7" x14ac:dyDescent="0.3">
      <c r="A260">
        <v>5</v>
      </c>
      <c r="B260" t="s">
        <v>7</v>
      </c>
      <c r="C260">
        <v>415</v>
      </c>
      <c r="D260">
        <v>12</v>
      </c>
      <c r="E260">
        <v>3</v>
      </c>
      <c r="F260">
        <v>3</v>
      </c>
      <c r="G260">
        <v>50.55</v>
      </c>
    </row>
    <row r="261" spans="1:7" x14ac:dyDescent="0.3">
      <c r="A261">
        <v>5</v>
      </c>
      <c r="B261" t="s">
        <v>7</v>
      </c>
      <c r="C261">
        <v>415</v>
      </c>
      <c r="D261">
        <v>12</v>
      </c>
      <c r="E261">
        <v>3</v>
      </c>
      <c r="F261">
        <v>4</v>
      </c>
      <c r="G261">
        <v>49.08</v>
      </c>
    </row>
    <row r="262" spans="1:7" x14ac:dyDescent="0.3">
      <c r="A262">
        <v>6</v>
      </c>
      <c r="B262" t="s">
        <v>7</v>
      </c>
      <c r="C262">
        <v>501</v>
      </c>
      <c r="D262">
        <v>6</v>
      </c>
      <c r="E262">
        <v>3</v>
      </c>
      <c r="F262">
        <v>1</v>
      </c>
      <c r="G262">
        <v>24.75</v>
      </c>
    </row>
    <row r="263" spans="1:7" x14ac:dyDescent="0.3">
      <c r="A263">
        <v>6</v>
      </c>
      <c r="B263" t="s">
        <v>7</v>
      </c>
      <c r="C263">
        <v>501</v>
      </c>
      <c r="D263">
        <v>6</v>
      </c>
      <c r="E263">
        <v>3</v>
      </c>
      <c r="F263">
        <v>2</v>
      </c>
      <c r="G263">
        <v>41.47</v>
      </c>
    </row>
    <row r="264" spans="1:7" x14ac:dyDescent="0.3">
      <c r="A264">
        <v>6</v>
      </c>
      <c r="B264" t="s">
        <v>7</v>
      </c>
      <c r="C264">
        <v>501</v>
      </c>
      <c r="D264">
        <v>6</v>
      </c>
      <c r="E264">
        <v>3</v>
      </c>
      <c r="F264">
        <v>3</v>
      </c>
      <c r="G264">
        <v>35.1</v>
      </c>
    </row>
    <row r="265" spans="1:7" x14ac:dyDescent="0.3">
      <c r="A265">
        <v>6</v>
      </c>
      <c r="B265" t="s">
        <v>7</v>
      </c>
      <c r="C265">
        <v>501</v>
      </c>
      <c r="D265">
        <v>6</v>
      </c>
      <c r="E265">
        <v>3</v>
      </c>
      <c r="F265">
        <v>4</v>
      </c>
      <c r="G265">
        <v>34.33</v>
      </c>
    </row>
    <row r="266" spans="1:7" x14ac:dyDescent="0.3">
      <c r="A266">
        <v>6</v>
      </c>
      <c r="B266" t="s">
        <v>7</v>
      </c>
      <c r="C266">
        <v>502</v>
      </c>
      <c r="D266">
        <v>19</v>
      </c>
      <c r="E266">
        <v>2</v>
      </c>
      <c r="F266">
        <v>1</v>
      </c>
      <c r="G266">
        <v>31.94</v>
      </c>
    </row>
    <row r="267" spans="1:7" x14ac:dyDescent="0.3">
      <c r="A267">
        <v>6</v>
      </c>
      <c r="B267" t="s">
        <v>7</v>
      </c>
      <c r="C267">
        <v>502</v>
      </c>
      <c r="D267">
        <v>19</v>
      </c>
      <c r="E267">
        <v>2</v>
      </c>
      <c r="F267">
        <v>2</v>
      </c>
      <c r="G267">
        <v>29.64</v>
      </c>
    </row>
    <row r="268" spans="1:7" x14ac:dyDescent="0.3">
      <c r="A268">
        <v>6</v>
      </c>
      <c r="B268" t="s">
        <v>7</v>
      </c>
      <c r="C268">
        <v>502</v>
      </c>
      <c r="D268">
        <v>19</v>
      </c>
      <c r="E268">
        <v>2</v>
      </c>
      <c r="F268">
        <v>3</v>
      </c>
      <c r="G268">
        <v>33.64</v>
      </c>
    </row>
    <row r="269" spans="1:7" x14ac:dyDescent="0.3">
      <c r="A269">
        <v>6</v>
      </c>
      <c r="B269" t="s">
        <v>7</v>
      </c>
      <c r="C269">
        <v>502</v>
      </c>
      <c r="D269">
        <v>19</v>
      </c>
      <c r="E269">
        <v>2</v>
      </c>
      <c r="F269">
        <v>4</v>
      </c>
      <c r="G269">
        <v>36.049999999999997</v>
      </c>
    </row>
    <row r="270" spans="1:7" x14ac:dyDescent="0.3">
      <c r="A270">
        <v>6</v>
      </c>
      <c r="B270" t="s">
        <v>7</v>
      </c>
      <c r="C270">
        <v>503</v>
      </c>
      <c r="D270">
        <v>2</v>
      </c>
      <c r="E270">
        <v>2</v>
      </c>
      <c r="F270">
        <v>1</v>
      </c>
      <c r="G270">
        <v>36.700000000000003</v>
      </c>
    </row>
    <row r="271" spans="1:7" x14ac:dyDescent="0.3">
      <c r="A271">
        <v>6</v>
      </c>
      <c r="B271" t="s">
        <v>7</v>
      </c>
      <c r="C271">
        <v>503</v>
      </c>
      <c r="D271">
        <v>2</v>
      </c>
      <c r="E271">
        <v>2</v>
      </c>
      <c r="F271">
        <v>2</v>
      </c>
      <c r="G271">
        <v>41.53</v>
      </c>
    </row>
    <row r="272" spans="1:7" x14ac:dyDescent="0.3">
      <c r="A272">
        <v>6</v>
      </c>
      <c r="B272" t="s">
        <v>7</v>
      </c>
      <c r="C272">
        <v>503</v>
      </c>
      <c r="D272">
        <v>2</v>
      </c>
      <c r="E272">
        <v>2</v>
      </c>
      <c r="F272">
        <v>3</v>
      </c>
      <c r="G272">
        <v>27.71</v>
      </c>
    </row>
    <row r="273" spans="1:7" x14ac:dyDescent="0.3">
      <c r="A273">
        <v>6</v>
      </c>
      <c r="B273" t="s">
        <v>7</v>
      </c>
      <c r="C273">
        <v>503</v>
      </c>
      <c r="D273">
        <v>2</v>
      </c>
      <c r="E273">
        <v>2</v>
      </c>
      <c r="F273">
        <v>4</v>
      </c>
      <c r="G273">
        <v>37.200000000000003</v>
      </c>
    </row>
    <row r="274" spans="1:7" x14ac:dyDescent="0.3">
      <c r="A274">
        <v>6</v>
      </c>
      <c r="B274" t="s">
        <v>7</v>
      </c>
      <c r="C274">
        <v>504</v>
      </c>
      <c r="D274">
        <v>4</v>
      </c>
      <c r="E274">
        <v>1</v>
      </c>
      <c r="F274">
        <v>1</v>
      </c>
      <c r="G274">
        <v>42.16</v>
      </c>
    </row>
    <row r="275" spans="1:7" x14ac:dyDescent="0.3">
      <c r="A275">
        <v>6</v>
      </c>
      <c r="B275" t="s">
        <v>7</v>
      </c>
      <c r="C275">
        <v>504</v>
      </c>
      <c r="D275">
        <v>4</v>
      </c>
      <c r="E275">
        <v>1</v>
      </c>
      <c r="F275">
        <v>2</v>
      </c>
      <c r="G275">
        <v>36.799999999999997</v>
      </c>
    </row>
    <row r="276" spans="1:7" x14ac:dyDescent="0.3">
      <c r="A276">
        <v>6</v>
      </c>
      <c r="B276" t="s">
        <v>7</v>
      </c>
      <c r="C276">
        <v>504</v>
      </c>
      <c r="D276">
        <v>4</v>
      </c>
      <c r="E276">
        <v>1</v>
      </c>
      <c r="F276">
        <v>3</v>
      </c>
      <c r="G276">
        <v>46.98</v>
      </c>
    </row>
    <row r="277" spans="1:7" x14ac:dyDescent="0.3">
      <c r="A277">
        <v>6</v>
      </c>
      <c r="B277" t="s">
        <v>7</v>
      </c>
      <c r="C277">
        <v>504</v>
      </c>
      <c r="D277">
        <v>4</v>
      </c>
      <c r="E277">
        <v>1</v>
      </c>
      <c r="F277">
        <v>4</v>
      </c>
      <c r="G277">
        <v>47.35</v>
      </c>
    </row>
    <row r="278" spans="1:7" x14ac:dyDescent="0.3">
      <c r="A278">
        <v>6</v>
      </c>
      <c r="B278" t="s">
        <v>7</v>
      </c>
      <c r="C278">
        <v>505</v>
      </c>
      <c r="D278">
        <v>1</v>
      </c>
      <c r="E278">
        <v>2</v>
      </c>
      <c r="F278">
        <v>1</v>
      </c>
      <c r="G278">
        <v>32.21</v>
      </c>
    </row>
    <row r="279" spans="1:7" x14ac:dyDescent="0.3">
      <c r="A279">
        <v>6</v>
      </c>
      <c r="B279" t="s">
        <v>7</v>
      </c>
      <c r="C279">
        <v>505</v>
      </c>
      <c r="D279">
        <v>1</v>
      </c>
      <c r="E279">
        <v>2</v>
      </c>
      <c r="F279">
        <v>2</v>
      </c>
      <c r="G279">
        <v>38.409999999999997</v>
      </c>
    </row>
    <row r="280" spans="1:7" x14ac:dyDescent="0.3">
      <c r="A280">
        <v>6</v>
      </c>
      <c r="B280" t="s">
        <v>7</v>
      </c>
      <c r="C280">
        <v>505</v>
      </c>
      <c r="D280">
        <v>1</v>
      </c>
      <c r="E280">
        <v>2</v>
      </c>
      <c r="F280">
        <v>3</v>
      </c>
      <c r="G280">
        <v>37.9</v>
      </c>
    </row>
    <row r="281" spans="1:7" x14ac:dyDescent="0.3">
      <c r="A281">
        <v>6</v>
      </c>
      <c r="B281" t="s">
        <v>7</v>
      </c>
      <c r="C281">
        <v>505</v>
      </c>
      <c r="D281">
        <v>1</v>
      </c>
      <c r="E281">
        <v>2</v>
      </c>
      <c r="F281">
        <v>4</v>
      </c>
      <c r="G281">
        <v>44.84</v>
      </c>
    </row>
    <row r="282" spans="1:7" x14ac:dyDescent="0.3">
      <c r="A282">
        <v>6</v>
      </c>
      <c r="B282" t="s">
        <v>7</v>
      </c>
      <c r="C282">
        <v>506</v>
      </c>
      <c r="D282">
        <v>12</v>
      </c>
      <c r="E282">
        <v>2</v>
      </c>
      <c r="F282">
        <v>1</v>
      </c>
      <c r="G282">
        <v>37.450000000000003</v>
      </c>
    </row>
    <row r="283" spans="1:7" x14ac:dyDescent="0.3">
      <c r="A283">
        <v>6</v>
      </c>
      <c r="B283" t="s">
        <v>7</v>
      </c>
      <c r="C283">
        <v>506</v>
      </c>
      <c r="D283">
        <v>12</v>
      </c>
      <c r="E283">
        <v>2</v>
      </c>
      <c r="F283">
        <v>2</v>
      </c>
      <c r="G283">
        <v>35.46</v>
      </c>
    </row>
    <row r="284" spans="1:7" x14ac:dyDescent="0.3">
      <c r="A284">
        <v>6</v>
      </c>
      <c r="B284" t="s">
        <v>7</v>
      </c>
      <c r="C284">
        <v>506</v>
      </c>
      <c r="D284">
        <v>12</v>
      </c>
      <c r="E284">
        <v>2</v>
      </c>
      <c r="F284">
        <v>3</v>
      </c>
      <c r="G284">
        <v>31.85</v>
      </c>
    </row>
    <row r="285" spans="1:7" x14ac:dyDescent="0.3">
      <c r="A285">
        <v>6</v>
      </c>
      <c r="B285" t="s">
        <v>7</v>
      </c>
      <c r="C285">
        <v>506</v>
      </c>
      <c r="D285">
        <v>12</v>
      </c>
      <c r="E285">
        <v>2</v>
      </c>
      <c r="F285">
        <v>4</v>
      </c>
      <c r="G285">
        <v>19.260000000000002</v>
      </c>
    </row>
    <row r="286" spans="1:7" x14ac:dyDescent="0.3">
      <c r="A286">
        <v>6</v>
      </c>
      <c r="B286" t="s">
        <v>7</v>
      </c>
      <c r="C286">
        <v>507</v>
      </c>
      <c r="D286">
        <v>5</v>
      </c>
      <c r="E286">
        <v>2</v>
      </c>
      <c r="F286">
        <v>1</v>
      </c>
      <c r="G286">
        <v>38.65</v>
      </c>
    </row>
    <row r="287" spans="1:7" x14ac:dyDescent="0.3">
      <c r="A287">
        <v>6</v>
      </c>
      <c r="B287" t="s">
        <v>7</v>
      </c>
      <c r="C287">
        <v>507</v>
      </c>
      <c r="D287">
        <v>5</v>
      </c>
      <c r="E287">
        <v>2</v>
      </c>
      <c r="F287">
        <v>2</v>
      </c>
      <c r="G287">
        <v>17.34</v>
      </c>
    </row>
    <row r="288" spans="1:7" x14ac:dyDescent="0.3">
      <c r="A288">
        <v>6</v>
      </c>
      <c r="B288" t="s">
        <v>7</v>
      </c>
      <c r="C288">
        <v>507</v>
      </c>
      <c r="D288">
        <v>5</v>
      </c>
      <c r="E288">
        <v>2</v>
      </c>
      <c r="F288">
        <v>3</v>
      </c>
      <c r="G288">
        <v>33.14</v>
      </c>
    </row>
    <row r="289" spans="1:7" x14ac:dyDescent="0.3">
      <c r="A289">
        <v>6</v>
      </c>
      <c r="B289" t="s">
        <v>7</v>
      </c>
      <c r="C289">
        <v>507</v>
      </c>
      <c r="D289">
        <v>5</v>
      </c>
      <c r="E289">
        <v>2</v>
      </c>
      <c r="F289">
        <v>4</v>
      </c>
      <c r="G289">
        <v>23.44</v>
      </c>
    </row>
    <row r="290" spans="1:7" x14ac:dyDescent="0.3">
      <c r="A290">
        <v>6</v>
      </c>
      <c r="B290" t="s">
        <v>7</v>
      </c>
      <c r="C290">
        <v>508</v>
      </c>
      <c r="D290">
        <v>5</v>
      </c>
      <c r="E290">
        <v>3</v>
      </c>
      <c r="F290">
        <v>1</v>
      </c>
      <c r="G290">
        <v>37.17</v>
      </c>
    </row>
    <row r="291" spans="1:7" x14ac:dyDescent="0.3">
      <c r="A291">
        <v>6</v>
      </c>
      <c r="B291" t="s">
        <v>7</v>
      </c>
      <c r="C291">
        <v>508</v>
      </c>
      <c r="D291">
        <v>5</v>
      </c>
      <c r="E291">
        <v>3</v>
      </c>
      <c r="F291">
        <v>2</v>
      </c>
      <c r="G291">
        <v>30.52</v>
      </c>
    </row>
    <row r="292" spans="1:7" x14ac:dyDescent="0.3">
      <c r="A292">
        <v>6</v>
      </c>
      <c r="B292" t="s">
        <v>7</v>
      </c>
      <c r="C292">
        <v>508</v>
      </c>
      <c r="D292">
        <v>5</v>
      </c>
      <c r="E292">
        <v>3</v>
      </c>
      <c r="F292">
        <v>3</v>
      </c>
      <c r="G292">
        <v>32.51</v>
      </c>
    </row>
    <row r="293" spans="1:7" x14ac:dyDescent="0.3">
      <c r="A293">
        <v>6</v>
      </c>
      <c r="B293" t="s">
        <v>7</v>
      </c>
      <c r="C293">
        <v>508</v>
      </c>
      <c r="D293">
        <v>5</v>
      </c>
      <c r="E293">
        <v>3</v>
      </c>
      <c r="F293">
        <v>4</v>
      </c>
      <c r="G293">
        <v>29.12</v>
      </c>
    </row>
    <row r="294" spans="1:7" x14ac:dyDescent="0.3">
      <c r="A294">
        <v>6</v>
      </c>
      <c r="B294" t="s">
        <v>7</v>
      </c>
      <c r="C294">
        <v>509</v>
      </c>
      <c r="D294">
        <v>8</v>
      </c>
      <c r="E294">
        <v>1</v>
      </c>
      <c r="F294">
        <v>1</v>
      </c>
      <c r="G294">
        <v>40.46</v>
      </c>
    </row>
    <row r="295" spans="1:7" x14ac:dyDescent="0.3">
      <c r="A295">
        <v>6</v>
      </c>
      <c r="B295" t="s">
        <v>7</v>
      </c>
      <c r="C295">
        <v>509</v>
      </c>
      <c r="D295">
        <v>8</v>
      </c>
      <c r="E295">
        <v>1</v>
      </c>
      <c r="F295">
        <v>2</v>
      </c>
      <c r="G295">
        <v>41.25</v>
      </c>
    </row>
    <row r="296" spans="1:7" x14ac:dyDescent="0.3">
      <c r="A296">
        <v>6</v>
      </c>
      <c r="B296" t="s">
        <v>7</v>
      </c>
      <c r="C296">
        <v>509</v>
      </c>
      <c r="D296">
        <v>8</v>
      </c>
      <c r="E296">
        <v>1</v>
      </c>
      <c r="F296">
        <v>3</v>
      </c>
      <c r="G296">
        <v>32.049999999999997</v>
      </c>
    </row>
    <row r="297" spans="1:7" x14ac:dyDescent="0.3">
      <c r="A297">
        <v>6</v>
      </c>
      <c r="B297" t="s">
        <v>7</v>
      </c>
      <c r="C297">
        <v>509</v>
      </c>
      <c r="D297">
        <v>8</v>
      </c>
      <c r="E297">
        <v>1</v>
      </c>
      <c r="F297">
        <v>4</v>
      </c>
      <c r="G297">
        <v>47.5</v>
      </c>
    </row>
    <row r="298" spans="1:7" x14ac:dyDescent="0.3">
      <c r="A298">
        <v>6</v>
      </c>
      <c r="B298" t="s">
        <v>7</v>
      </c>
      <c r="C298">
        <v>510</v>
      </c>
      <c r="D298">
        <v>7</v>
      </c>
      <c r="E298">
        <v>2</v>
      </c>
      <c r="F298">
        <v>1</v>
      </c>
      <c r="G298">
        <v>32.770000000000003</v>
      </c>
    </row>
    <row r="299" spans="1:7" x14ac:dyDescent="0.3">
      <c r="A299">
        <v>6</v>
      </c>
      <c r="B299" t="s">
        <v>7</v>
      </c>
      <c r="C299">
        <v>510</v>
      </c>
      <c r="D299">
        <v>7</v>
      </c>
      <c r="E299">
        <v>2</v>
      </c>
      <c r="F299">
        <v>2</v>
      </c>
      <c r="G299">
        <v>30.26</v>
      </c>
    </row>
    <row r="300" spans="1:7" x14ac:dyDescent="0.3">
      <c r="A300">
        <v>6</v>
      </c>
      <c r="B300" t="s">
        <v>7</v>
      </c>
      <c r="C300">
        <v>510</v>
      </c>
      <c r="D300">
        <v>7</v>
      </c>
      <c r="E300">
        <v>2</v>
      </c>
      <c r="F300">
        <v>3</v>
      </c>
      <c r="G300">
        <v>27.55</v>
      </c>
    </row>
    <row r="301" spans="1:7" x14ac:dyDescent="0.3">
      <c r="A301">
        <v>6</v>
      </c>
      <c r="B301" t="s">
        <v>7</v>
      </c>
      <c r="C301">
        <v>510</v>
      </c>
      <c r="D301">
        <v>7</v>
      </c>
      <c r="E301">
        <v>2</v>
      </c>
      <c r="F301">
        <v>4</v>
      </c>
      <c r="G301">
        <v>27.37</v>
      </c>
    </row>
    <row r="302" spans="1:7" x14ac:dyDescent="0.3">
      <c r="A302">
        <v>6</v>
      </c>
      <c r="B302" t="s">
        <v>7</v>
      </c>
      <c r="C302">
        <v>511</v>
      </c>
      <c r="D302">
        <v>24</v>
      </c>
      <c r="E302">
        <v>3</v>
      </c>
      <c r="F302">
        <v>1</v>
      </c>
      <c r="G302">
        <v>47.48</v>
      </c>
    </row>
    <row r="303" spans="1:7" x14ac:dyDescent="0.3">
      <c r="A303">
        <v>6</v>
      </c>
      <c r="B303" t="s">
        <v>7</v>
      </c>
      <c r="C303">
        <v>511</v>
      </c>
      <c r="D303">
        <v>24</v>
      </c>
      <c r="E303">
        <v>3</v>
      </c>
      <c r="F303">
        <v>2</v>
      </c>
      <c r="G303">
        <v>39.409999999999997</v>
      </c>
    </row>
    <row r="304" spans="1:7" x14ac:dyDescent="0.3">
      <c r="A304">
        <v>6</v>
      </c>
      <c r="B304" t="s">
        <v>7</v>
      </c>
      <c r="C304">
        <v>511</v>
      </c>
      <c r="D304">
        <v>24</v>
      </c>
      <c r="E304">
        <v>3</v>
      </c>
      <c r="F304">
        <v>3</v>
      </c>
      <c r="G304">
        <v>43.29</v>
      </c>
    </row>
    <row r="305" spans="1:7" x14ac:dyDescent="0.3">
      <c r="A305">
        <v>6</v>
      </c>
      <c r="B305" t="s">
        <v>7</v>
      </c>
      <c r="C305">
        <v>511</v>
      </c>
      <c r="D305">
        <v>24</v>
      </c>
      <c r="E305">
        <v>3</v>
      </c>
      <c r="F305">
        <v>4</v>
      </c>
      <c r="G305">
        <v>42.59</v>
      </c>
    </row>
    <row r="306" spans="1:7" x14ac:dyDescent="0.3">
      <c r="A306">
        <v>6</v>
      </c>
      <c r="B306" t="s">
        <v>7</v>
      </c>
      <c r="C306">
        <v>512</v>
      </c>
      <c r="D306">
        <v>4</v>
      </c>
      <c r="E306">
        <v>1</v>
      </c>
      <c r="F306">
        <v>1</v>
      </c>
      <c r="G306">
        <v>35.299999999999997</v>
      </c>
    </row>
    <row r="307" spans="1:7" x14ac:dyDescent="0.3">
      <c r="A307">
        <v>6</v>
      </c>
      <c r="B307" t="s">
        <v>7</v>
      </c>
      <c r="C307">
        <v>512</v>
      </c>
      <c r="D307">
        <v>4</v>
      </c>
      <c r="E307">
        <v>1</v>
      </c>
      <c r="F307">
        <v>2</v>
      </c>
      <c r="G307">
        <v>35.86</v>
      </c>
    </row>
    <row r="308" spans="1:7" x14ac:dyDescent="0.3">
      <c r="A308">
        <v>6</v>
      </c>
      <c r="B308" t="s">
        <v>7</v>
      </c>
      <c r="C308">
        <v>512</v>
      </c>
      <c r="D308">
        <v>4</v>
      </c>
      <c r="E308">
        <v>1</v>
      </c>
      <c r="F308">
        <v>3</v>
      </c>
      <c r="G308">
        <v>49.3</v>
      </c>
    </row>
    <row r="309" spans="1:7" x14ac:dyDescent="0.3">
      <c r="A309">
        <v>6</v>
      </c>
      <c r="B309" t="s">
        <v>7</v>
      </c>
      <c r="C309">
        <v>512</v>
      </c>
      <c r="D309">
        <v>4</v>
      </c>
      <c r="E309">
        <v>1</v>
      </c>
      <c r="F309">
        <v>4</v>
      </c>
      <c r="G309">
        <v>30.81</v>
      </c>
    </row>
    <row r="310" spans="1:7" x14ac:dyDescent="0.3">
      <c r="A310">
        <v>6</v>
      </c>
      <c r="B310" t="s">
        <v>7</v>
      </c>
      <c r="C310">
        <v>513</v>
      </c>
      <c r="D310">
        <v>7</v>
      </c>
      <c r="E310">
        <v>1</v>
      </c>
      <c r="F310">
        <v>1</v>
      </c>
      <c r="G310">
        <v>44.98</v>
      </c>
    </row>
    <row r="311" spans="1:7" x14ac:dyDescent="0.3">
      <c r="A311">
        <v>6</v>
      </c>
      <c r="B311" t="s">
        <v>7</v>
      </c>
      <c r="C311">
        <v>513</v>
      </c>
      <c r="D311">
        <v>7</v>
      </c>
      <c r="E311">
        <v>1</v>
      </c>
      <c r="F311">
        <v>2</v>
      </c>
      <c r="G311">
        <v>41.71</v>
      </c>
    </row>
    <row r="312" spans="1:7" x14ac:dyDescent="0.3">
      <c r="A312">
        <v>6</v>
      </c>
      <c r="B312" t="s">
        <v>7</v>
      </c>
      <c r="C312">
        <v>513</v>
      </c>
      <c r="D312">
        <v>7</v>
      </c>
      <c r="E312">
        <v>1</v>
      </c>
      <c r="F312">
        <v>3</v>
      </c>
      <c r="G312">
        <v>41.1</v>
      </c>
    </row>
    <row r="313" spans="1:7" x14ac:dyDescent="0.3">
      <c r="A313">
        <v>6</v>
      </c>
      <c r="B313" t="s">
        <v>7</v>
      </c>
      <c r="C313">
        <v>513</v>
      </c>
      <c r="D313">
        <v>7</v>
      </c>
      <c r="E313">
        <v>1</v>
      </c>
      <c r="F313">
        <v>4</v>
      </c>
      <c r="G313">
        <v>40.97</v>
      </c>
    </row>
    <row r="314" spans="1:7" x14ac:dyDescent="0.3">
      <c r="A314">
        <v>6</v>
      </c>
      <c r="B314" t="s">
        <v>7</v>
      </c>
      <c r="C314">
        <v>514</v>
      </c>
      <c r="D314">
        <v>6</v>
      </c>
      <c r="E314">
        <v>1</v>
      </c>
      <c r="F314">
        <v>1</v>
      </c>
      <c r="G314">
        <v>41.1</v>
      </c>
    </row>
    <row r="315" spans="1:7" x14ac:dyDescent="0.3">
      <c r="A315">
        <v>6</v>
      </c>
      <c r="B315" t="s">
        <v>7</v>
      </c>
      <c r="C315">
        <v>514</v>
      </c>
      <c r="D315">
        <v>6</v>
      </c>
      <c r="E315">
        <v>1</v>
      </c>
      <c r="F315">
        <v>2</v>
      </c>
      <c r="G315">
        <v>41.56</v>
      </c>
    </row>
    <row r="316" spans="1:7" x14ac:dyDescent="0.3">
      <c r="A316">
        <v>6</v>
      </c>
      <c r="B316" t="s">
        <v>7</v>
      </c>
      <c r="C316">
        <v>514</v>
      </c>
      <c r="D316">
        <v>6</v>
      </c>
      <c r="E316">
        <v>1</v>
      </c>
      <c r="F316">
        <v>3</v>
      </c>
      <c r="G316">
        <v>36.39</v>
      </c>
    </row>
    <row r="317" spans="1:7" x14ac:dyDescent="0.3">
      <c r="A317">
        <v>6</v>
      </c>
      <c r="B317" t="s">
        <v>7</v>
      </c>
      <c r="C317">
        <v>514</v>
      </c>
      <c r="D317">
        <v>6</v>
      </c>
      <c r="E317">
        <v>1</v>
      </c>
      <c r="F317">
        <v>4</v>
      </c>
      <c r="G317">
        <v>39.67</v>
      </c>
    </row>
    <row r="318" spans="1:7" x14ac:dyDescent="0.3">
      <c r="A318">
        <v>6</v>
      </c>
      <c r="B318" t="s">
        <v>7</v>
      </c>
      <c r="C318">
        <v>515</v>
      </c>
      <c r="D318">
        <v>8</v>
      </c>
      <c r="E318">
        <v>3</v>
      </c>
      <c r="F318">
        <v>1</v>
      </c>
      <c r="G318">
        <v>34.46</v>
      </c>
    </row>
    <row r="319" spans="1:7" x14ac:dyDescent="0.3">
      <c r="A319">
        <v>6</v>
      </c>
      <c r="B319" t="s">
        <v>7</v>
      </c>
      <c r="C319">
        <v>515</v>
      </c>
      <c r="D319">
        <v>8</v>
      </c>
      <c r="E319">
        <v>3</v>
      </c>
      <c r="F319">
        <v>2</v>
      </c>
      <c r="G319">
        <v>40.130000000000003</v>
      </c>
    </row>
    <row r="320" spans="1:7" x14ac:dyDescent="0.3">
      <c r="A320">
        <v>6</v>
      </c>
      <c r="B320" t="s">
        <v>7</v>
      </c>
      <c r="C320">
        <v>515</v>
      </c>
      <c r="D320">
        <v>8</v>
      </c>
      <c r="E320">
        <v>3</v>
      </c>
      <c r="F320">
        <v>3</v>
      </c>
      <c r="G320">
        <v>32.18</v>
      </c>
    </row>
    <row r="321" spans="1:7" x14ac:dyDescent="0.3">
      <c r="A321">
        <v>6</v>
      </c>
      <c r="B321" t="s">
        <v>7</v>
      </c>
      <c r="C321">
        <v>515</v>
      </c>
      <c r="D321">
        <v>8</v>
      </c>
      <c r="E321">
        <v>3</v>
      </c>
      <c r="F321">
        <v>4</v>
      </c>
      <c r="G321">
        <v>43.73</v>
      </c>
    </row>
    <row r="322" spans="1:7" x14ac:dyDescent="0.3">
      <c r="A322">
        <v>7</v>
      </c>
      <c r="B322" t="s">
        <v>7</v>
      </c>
      <c r="C322">
        <v>601</v>
      </c>
      <c r="D322">
        <v>7</v>
      </c>
      <c r="E322">
        <v>3</v>
      </c>
      <c r="F322">
        <v>1</v>
      </c>
      <c r="G322">
        <v>49.01</v>
      </c>
    </row>
    <row r="323" spans="1:7" x14ac:dyDescent="0.3">
      <c r="A323">
        <v>7</v>
      </c>
      <c r="B323" t="s">
        <v>7</v>
      </c>
      <c r="C323">
        <v>601</v>
      </c>
      <c r="D323">
        <v>7</v>
      </c>
      <c r="E323">
        <v>3</v>
      </c>
      <c r="F323">
        <v>2</v>
      </c>
      <c r="G323">
        <v>46.29</v>
      </c>
    </row>
    <row r="324" spans="1:7" x14ac:dyDescent="0.3">
      <c r="A324">
        <v>7</v>
      </c>
      <c r="B324" t="s">
        <v>7</v>
      </c>
      <c r="C324">
        <v>601</v>
      </c>
      <c r="D324">
        <v>7</v>
      </c>
      <c r="E324">
        <v>3</v>
      </c>
      <c r="F324">
        <v>3</v>
      </c>
      <c r="G324">
        <v>37.14</v>
      </c>
    </row>
    <row r="325" spans="1:7" x14ac:dyDescent="0.3">
      <c r="A325">
        <v>7</v>
      </c>
      <c r="B325" t="s">
        <v>7</v>
      </c>
      <c r="C325">
        <v>601</v>
      </c>
      <c r="D325">
        <v>7</v>
      </c>
      <c r="E325">
        <v>3</v>
      </c>
      <c r="F325">
        <v>4</v>
      </c>
      <c r="G325">
        <v>42.82</v>
      </c>
    </row>
    <row r="326" spans="1:7" x14ac:dyDescent="0.3">
      <c r="A326">
        <v>7</v>
      </c>
      <c r="B326" t="s">
        <v>7</v>
      </c>
      <c r="C326">
        <v>602</v>
      </c>
      <c r="D326">
        <v>4</v>
      </c>
      <c r="E326">
        <v>3</v>
      </c>
      <c r="F326">
        <v>1</v>
      </c>
      <c r="G326">
        <v>47.22</v>
      </c>
    </row>
    <row r="327" spans="1:7" x14ac:dyDescent="0.3">
      <c r="A327">
        <v>7</v>
      </c>
      <c r="B327" t="s">
        <v>7</v>
      </c>
      <c r="C327">
        <v>602</v>
      </c>
      <c r="D327">
        <v>4</v>
      </c>
      <c r="E327">
        <v>3</v>
      </c>
      <c r="F327">
        <v>2</v>
      </c>
      <c r="G327">
        <v>35.24</v>
      </c>
    </row>
    <row r="328" spans="1:7" x14ac:dyDescent="0.3">
      <c r="A328">
        <v>7</v>
      </c>
      <c r="B328" t="s">
        <v>7</v>
      </c>
      <c r="C328">
        <v>602</v>
      </c>
      <c r="D328">
        <v>4</v>
      </c>
      <c r="E328">
        <v>3</v>
      </c>
      <c r="F328">
        <v>3</v>
      </c>
      <c r="G328">
        <v>47.22</v>
      </c>
    </row>
    <row r="329" spans="1:7" x14ac:dyDescent="0.3">
      <c r="A329">
        <v>7</v>
      </c>
      <c r="B329" t="s">
        <v>7</v>
      </c>
      <c r="C329">
        <v>602</v>
      </c>
      <c r="D329">
        <v>4</v>
      </c>
      <c r="E329">
        <v>3</v>
      </c>
      <c r="F329">
        <v>4</v>
      </c>
      <c r="G329">
        <v>43.15</v>
      </c>
    </row>
    <row r="330" spans="1:7" x14ac:dyDescent="0.3">
      <c r="A330">
        <v>7</v>
      </c>
      <c r="B330" t="s">
        <v>7</v>
      </c>
      <c r="C330">
        <v>603</v>
      </c>
      <c r="D330">
        <v>4</v>
      </c>
      <c r="E330">
        <v>2</v>
      </c>
      <c r="F330">
        <v>1</v>
      </c>
      <c r="G330">
        <v>40.71</v>
      </c>
    </row>
    <row r="331" spans="1:7" x14ac:dyDescent="0.3">
      <c r="A331">
        <v>7</v>
      </c>
      <c r="B331" t="s">
        <v>7</v>
      </c>
      <c r="C331">
        <v>603</v>
      </c>
      <c r="D331">
        <v>4</v>
      </c>
      <c r="E331">
        <v>2</v>
      </c>
      <c r="F331">
        <v>2</v>
      </c>
      <c r="G331">
        <v>38.26</v>
      </c>
    </row>
    <row r="332" spans="1:7" x14ac:dyDescent="0.3">
      <c r="A332">
        <v>7</v>
      </c>
      <c r="B332" t="s">
        <v>7</v>
      </c>
      <c r="C332">
        <v>603</v>
      </c>
      <c r="D332">
        <v>4</v>
      </c>
      <c r="E332">
        <v>2</v>
      </c>
      <c r="F332">
        <v>3</v>
      </c>
      <c r="G332">
        <v>41.44</v>
      </c>
    </row>
    <row r="333" spans="1:7" x14ac:dyDescent="0.3">
      <c r="A333">
        <v>7</v>
      </c>
      <c r="B333" t="s">
        <v>7</v>
      </c>
      <c r="C333">
        <v>603</v>
      </c>
      <c r="D333">
        <v>4</v>
      </c>
      <c r="E333">
        <v>2</v>
      </c>
      <c r="F333">
        <v>4</v>
      </c>
      <c r="G333">
        <v>25.7</v>
      </c>
    </row>
    <row r="334" spans="1:7" x14ac:dyDescent="0.3">
      <c r="A334">
        <v>7</v>
      </c>
      <c r="B334" t="s">
        <v>7</v>
      </c>
      <c r="C334">
        <v>604</v>
      </c>
      <c r="D334">
        <v>11</v>
      </c>
      <c r="E334">
        <v>3</v>
      </c>
      <c r="F334">
        <v>1</v>
      </c>
      <c r="G334">
        <v>40.29</v>
      </c>
    </row>
    <row r="335" spans="1:7" x14ac:dyDescent="0.3">
      <c r="A335">
        <v>7</v>
      </c>
      <c r="B335" t="s">
        <v>7</v>
      </c>
      <c r="C335">
        <v>604</v>
      </c>
      <c r="D335">
        <v>11</v>
      </c>
      <c r="E335">
        <v>3</v>
      </c>
      <c r="F335">
        <v>2</v>
      </c>
      <c r="G335">
        <v>48.35</v>
      </c>
    </row>
    <row r="336" spans="1:7" x14ac:dyDescent="0.3">
      <c r="A336">
        <v>7</v>
      </c>
      <c r="B336" t="s">
        <v>7</v>
      </c>
      <c r="C336">
        <v>604</v>
      </c>
      <c r="D336">
        <v>11</v>
      </c>
      <c r="E336">
        <v>3</v>
      </c>
      <c r="F336">
        <v>3</v>
      </c>
      <c r="G336">
        <v>43.26</v>
      </c>
    </row>
    <row r="337" spans="1:7" x14ac:dyDescent="0.3">
      <c r="A337">
        <v>7</v>
      </c>
      <c r="B337" t="s">
        <v>7</v>
      </c>
      <c r="C337">
        <v>604</v>
      </c>
      <c r="D337">
        <v>11</v>
      </c>
      <c r="E337">
        <v>3</v>
      </c>
      <c r="F337">
        <v>4</v>
      </c>
      <c r="G337">
        <v>44.2</v>
      </c>
    </row>
    <row r="338" spans="1:7" x14ac:dyDescent="0.3">
      <c r="A338">
        <v>7</v>
      </c>
      <c r="B338" t="s">
        <v>7</v>
      </c>
      <c r="C338">
        <v>605</v>
      </c>
      <c r="D338">
        <v>8</v>
      </c>
      <c r="E338">
        <v>3</v>
      </c>
      <c r="F338">
        <v>1</v>
      </c>
      <c r="G338">
        <v>46.14</v>
      </c>
    </row>
    <row r="339" spans="1:7" x14ac:dyDescent="0.3">
      <c r="A339">
        <v>7</v>
      </c>
      <c r="B339" t="s">
        <v>7</v>
      </c>
      <c r="C339">
        <v>605</v>
      </c>
      <c r="D339">
        <v>8</v>
      </c>
      <c r="E339">
        <v>3</v>
      </c>
      <c r="F339">
        <v>2</v>
      </c>
      <c r="G339">
        <v>41.12</v>
      </c>
    </row>
    <row r="340" spans="1:7" x14ac:dyDescent="0.3">
      <c r="A340">
        <v>7</v>
      </c>
      <c r="B340" t="s">
        <v>7</v>
      </c>
      <c r="C340">
        <v>605</v>
      </c>
      <c r="D340">
        <v>8</v>
      </c>
      <c r="E340">
        <v>3</v>
      </c>
      <c r="F340">
        <v>3</v>
      </c>
      <c r="G340">
        <v>45.03</v>
      </c>
    </row>
    <row r="341" spans="1:7" x14ac:dyDescent="0.3">
      <c r="A341">
        <v>7</v>
      </c>
      <c r="B341" t="s">
        <v>7</v>
      </c>
      <c r="C341">
        <v>605</v>
      </c>
      <c r="D341">
        <v>8</v>
      </c>
      <c r="E341">
        <v>3</v>
      </c>
      <c r="F341">
        <v>4</v>
      </c>
      <c r="G341">
        <v>38.85</v>
      </c>
    </row>
    <row r="342" spans="1:7" x14ac:dyDescent="0.3">
      <c r="A342">
        <v>7</v>
      </c>
      <c r="B342" t="s">
        <v>7</v>
      </c>
      <c r="C342">
        <v>606</v>
      </c>
      <c r="D342">
        <v>8</v>
      </c>
      <c r="E342">
        <v>3</v>
      </c>
      <c r="F342">
        <v>1</v>
      </c>
      <c r="G342">
        <v>41.96</v>
      </c>
    </row>
    <row r="343" spans="1:7" x14ac:dyDescent="0.3">
      <c r="A343">
        <v>7</v>
      </c>
      <c r="B343" t="s">
        <v>7</v>
      </c>
      <c r="C343">
        <v>606</v>
      </c>
      <c r="D343">
        <v>8</v>
      </c>
      <c r="E343">
        <v>3</v>
      </c>
      <c r="F343">
        <v>2</v>
      </c>
      <c r="G343">
        <v>42.27</v>
      </c>
    </row>
    <row r="344" spans="1:7" x14ac:dyDescent="0.3">
      <c r="A344">
        <v>7</v>
      </c>
      <c r="B344" t="s">
        <v>7</v>
      </c>
      <c r="C344">
        <v>606</v>
      </c>
      <c r="D344">
        <v>8</v>
      </c>
      <c r="E344">
        <v>3</v>
      </c>
      <c r="F344">
        <v>3</v>
      </c>
      <c r="G344">
        <v>38.51</v>
      </c>
    </row>
    <row r="345" spans="1:7" x14ac:dyDescent="0.3">
      <c r="A345">
        <v>7</v>
      </c>
      <c r="B345" t="s">
        <v>7</v>
      </c>
      <c r="C345">
        <v>606</v>
      </c>
      <c r="D345">
        <v>8</v>
      </c>
      <c r="E345">
        <v>3</v>
      </c>
      <c r="F345">
        <v>4</v>
      </c>
      <c r="G345">
        <v>43.51</v>
      </c>
    </row>
    <row r="346" spans="1:7" x14ac:dyDescent="0.3">
      <c r="A346">
        <v>7</v>
      </c>
      <c r="B346" t="s">
        <v>7</v>
      </c>
      <c r="C346">
        <v>607</v>
      </c>
      <c r="D346">
        <v>3</v>
      </c>
      <c r="E346">
        <v>2</v>
      </c>
      <c r="F346">
        <v>1</v>
      </c>
      <c r="G346">
        <v>49.39</v>
      </c>
    </row>
    <row r="347" spans="1:7" x14ac:dyDescent="0.3">
      <c r="A347">
        <v>7</v>
      </c>
      <c r="B347" t="s">
        <v>7</v>
      </c>
      <c r="C347">
        <v>607</v>
      </c>
      <c r="D347">
        <v>3</v>
      </c>
      <c r="E347">
        <v>2</v>
      </c>
      <c r="F347">
        <v>2</v>
      </c>
      <c r="G347">
        <v>40.25</v>
      </c>
    </row>
    <row r="348" spans="1:7" x14ac:dyDescent="0.3">
      <c r="A348">
        <v>7</v>
      </c>
      <c r="B348" t="s">
        <v>7</v>
      </c>
      <c r="C348">
        <v>607</v>
      </c>
      <c r="D348">
        <v>3</v>
      </c>
      <c r="E348">
        <v>2</v>
      </c>
      <c r="F348">
        <v>3</v>
      </c>
      <c r="G348">
        <v>42.46</v>
      </c>
    </row>
    <row r="349" spans="1:7" x14ac:dyDescent="0.3">
      <c r="A349">
        <v>7</v>
      </c>
      <c r="B349" t="s">
        <v>7</v>
      </c>
      <c r="C349">
        <v>607</v>
      </c>
      <c r="D349">
        <v>3</v>
      </c>
      <c r="E349">
        <v>2</v>
      </c>
      <c r="F349">
        <v>4</v>
      </c>
      <c r="G349">
        <v>31.62</v>
      </c>
    </row>
    <row r="350" spans="1:7" x14ac:dyDescent="0.3">
      <c r="A350">
        <v>7</v>
      </c>
      <c r="B350" t="s">
        <v>7</v>
      </c>
      <c r="C350">
        <v>608</v>
      </c>
      <c r="D350">
        <v>18</v>
      </c>
      <c r="E350">
        <v>1</v>
      </c>
      <c r="F350">
        <v>1</v>
      </c>
      <c r="G350">
        <v>53.38</v>
      </c>
    </row>
    <row r="351" spans="1:7" x14ac:dyDescent="0.3">
      <c r="A351">
        <v>7</v>
      </c>
      <c r="B351" t="s">
        <v>7</v>
      </c>
      <c r="C351">
        <v>608</v>
      </c>
      <c r="D351">
        <v>18</v>
      </c>
      <c r="E351">
        <v>1</v>
      </c>
      <c r="F351">
        <v>2</v>
      </c>
      <c r="G351">
        <v>55.31</v>
      </c>
    </row>
    <row r="352" spans="1:7" x14ac:dyDescent="0.3">
      <c r="A352">
        <v>7</v>
      </c>
      <c r="B352" t="s">
        <v>7</v>
      </c>
      <c r="C352">
        <v>608</v>
      </c>
      <c r="D352">
        <v>18</v>
      </c>
      <c r="E352">
        <v>1</v>
      </c>
      <c r="F352">
        <v>3</v>
      </c>
      <c r="G352">
        <v>56.1</v>
      </c>
    </row>
    <row r="353" spans="1:7" x14ac:dyDescent="0.3">
      <c r="A353">
        <v>7</v>
      </c>
      <c r="B353" t="s">
        <v>7</v>
      </c>
      <c r="C353">
        <v>608</v>
      </c>
      <c r="D353">
        <v>18</v>
      </c>
      <c r="E353">
        <v>1</v>
      </c>
      <c r="F353">
        <v>4</v>
      </c>
      <c r="G353">
        <v>43.24</v>
      </c>
    </row>
    <row r="354" spans="1:7" x14ac:dyDescent="0.3">
      <c r="A354">
        <v>7</v>
      </c>
      <c r="B354" t="s">
        <v>7</v>
      </c>
      <c r="C354">
        <v>609</v>
      </c>
      <c r="D354">
        <v>9</v>
      </c>
      <c r="E354">
        <v>1</v>
      </c>
      <c r="F354">
        <v>1</v>
      </c>
      <c r="G354">
        <v>48.18</v>
      </c>
    </row>
    <row r="355" spans="1:7" x14ac:dyDescent="0.3">
      <c r="A355">
        <v>7</v>
      </c>
      <c r="B355" t="s">
        <v>7</v>
      </c>
      <c r="C355">
        <v>609</v>
      </c>
      <c r="D355">
        <v>9</v>
      </c>
      <c r="E355">
        <v>1</v>
      </c>
      <c r="F355">
        <v>2</v>
      </c>
      <c r="G355">
        <v>43.11</v>
      </c>
    </row>
    <row r="356" spans="1:7" x14ac:dyDescent="0.3">
      <c r="A356">
        <v>7</v>
      </c>
      <c r="B356" t="s">
        <v>7</v>
      </c>
      <c r="C356">
        <v>609</v>
      </c>
      <c r="D356">
        <v>9</v>
      </c>
      <c r="E356">
        <v>1</v>
      </c>
      <c r="F356">
        <v>3</v>
      </c>
      <c r="G356">
        <v>43.78</v>
      </c>
    </row>
    <row r="357" spans="1:7" x14ac:dyDescent="0.3">
      <c r="A357">
        <v>7</v>
      </c>
      <c r="B357" t="s">
        <v>7</v>
      </c>
      <c r="C357">
        <v>609</v>
      </c>
      <c r="D357">
        <v>9</v>
      </c>
      <c r="E357">
        <v>1</v>
      </c>
      <c r="F357">
        <v>4</v>
      </c>
      <c r="G357">
        <v>56.9</v>
      </c>
    </row>
    <row r="358" spans="1:7" x14ac:dyDescent="0.3">
      <c r="A358">
        <v>7</v>
      </c>
      <c r="B358" t="s">
        <v>7</v>
      </c>
      <c r="C358">
        <v>610</v>
      </c>
      <c r="D358">
        <v>4</v>
      </c>
      <c r="E358">
        <v>1</v>
      </c>
      <c r="F358">
        <v>1</v>
      </c>
      <c r="G358">
        <v>53.53</v>
      </c>
    </row>
    <row r="359" spans="1:7" x14ac:dyDescent="0.3">
      <c r="A359">
        <v>7</v>
      </c>
      <c r="B359" t="s">
        <v>7</v>
      </c>
      <c r="C359">
        <v>610</v>
      </c>
      <c r="D359">
        <v>4</v>
      </c>
      <c r="E359">
        <v>1</v>
      </c>
      <c r="F359">
        <v>2</v>
      </c>
      <c r="G359">
        <v>47.92</v>
      </c>
    </row>
    <row r="360" spans="1:7" x14ac:dyDescent="0.3">
      <c r="A360">
        <v>7</v>
      </c>
      <c r="B360" t="s">
        <v>7</v>
      </c>
      <c r="C360">
        <v>610</v>
      </c>
      <c r="D360">
        <v>4</v>
      </c>
      <c r="E360">
        <v>1</v>
      </c>
      <c r="F360">
        <v>3</v>
      </c>
      <c r="G360">
        <v>56.18</v>
      </c>
    </row>
    <row r="361" spans="1:7" x14ac:dyDescent="0.3">
      <c r="A361">
        <v>7</v>
      </c>
      <c r="B361" t="s">
        <v>7</v>
      </c>
      <c r="C361">
        <v>610</v>
      </c>
      <c r="D361">
        <v>4</v>
      </c>
      <c r="E361">
        <v>1</v>
      </c>
      <c r="F361">
        <v>4</v>
      </c>
      <c r="G361">
        <v>46.66</v>
      </c>
    </row>
    <row r="362" spans="1:7" x14ac:dyDescent="0.3">
      <c r="A362">
        <v>7</v>
      </c>
      <c r="B362" t="s">
        <v>7</v>
      </c>
      <c r="C362">
        <v>611</v>
      </c>
      <c r="D362">
        <v>11</v>
      </c>
      <c r="E362">
        <v>3</v>
      </c>
      <c r="F362">
        <v>1</v>
      </c>
      <c r="G362">
        <v>40.43</v>
      </c>
    </row>
    <row r="363" spans="1:7" x14ac:dyDescent="0.3">
      <c r="A363">
        <v>7</v>
      </c>
      <c r="B363" t="s">
        <v>7</v>
      </c>
      <c r="C363">
        <v>611</v>
      </c>
      <c r="D363">
        <v>11</v>
      </c>
      <c r="E363">
        <v>3</v>
      </c>
      <c r="F363">
        <v>2</v>
      </c>
      <c r="G363">
        <v>51.15</v>
      </c>
    </row>
    <row r="364" spans="1:7" x14ac:dyDescent="0.3">
      <c r="A364">
        <v>7</v>
      </c>
      <c r="B364" t="s">
        <v>7</v>
      </c>
      <c r="C364">
        <v>611</v>
      </c>
      <c r="D364">
        <v>11</v>
      </c>
      <c r="E364">
        <v>3</v>
      </c>
      <c r="F364">
        <v>3</v>
      </c>
      <c r="G364">
        <v>42.5</v>
      </c>
    </row>
    <row r="365" spans="1:7" x14ac:dyDescent="0.3">
      <c r="A365">
        <v>7</v>
      </c>
      <c r="B365" t="s">
        <v>7</v>
      </c>
      <c r="C365">
        <v>611</v>
      </c>
      <c r="D365">
        <v>11</v>
      </c>
      <c r="E365">
        <v>3</v>
      </c>
      <c r="F365">
        <v>4</v>
      </c>
      <c r="G365">
        <v>52.76</v>
      </c>
    </row>
    <row r="366" spans="1:7" x14ac:dyDescent="0.3">
      <c r="A366">
        <v>7</v>
      </c>
      <c r="B366" t="s">
        <v>7</v>
      </c>
      <c r="C366">
        <v>612</v>
      </c>
      <c r="D366">
        <v>1</v>
      </c>
      <c r="E366">
        <v>3</v>
      </c>
      <c r="F366">
        <v>1</v>
      </c>
      <c r="G366">
        <v>47.63</v>
      </c>
    </row>
    <row r="367" spans="1:7" x14ac:dyDescent="0.3">
      <c r="A367">
        <v>7</v>
      </c>
      <c r="B367" t="s">
        <v>7</v>
      </c>
      <c r="C367">
        <v>612</v>
      </c>
      <c r="D367">
        <v>1</v>
      </c>
      <c r="E367">
        <v>3</v>
      </c>
      <c r="F367">
        <v>2</v>
      </c>
      <c r="G367">
        <v>52.21</v>
      </c>
    </row>
    <row r="368" spans="1:7" x14ac:dyDescent="0.3">
      <c r="A368">
        <v>7</v>
      </c>
      <c r="B368" t="s">
        <v>7</v>
      </c>
      <c r="C368">
        <v>612</v>
      </c>
      <c r="D368">
        <v>1</v>
      </c>
      <c r="E368">
        <v>3</v>
      </c>
      <c r="F368">
        <v>3</v>
      </c>
      <c r="G368">
        <v>40.17</v>
      </c>
    </row>
    <row r="369" spans="1:7" x14ac:dyDescent="0.3">
      <c r="A369">
        <v>7</v>
      </c>
      <c r="B369" t="s">
        <v>7</v>
      </c>
      <c r="C369">
        <v>612</v>
      </c>
      <c r="D369">
        <v>1</v>
      </c>
      <c r="E369">
        <v>3</v>
      </c>
      <c r="F369">
        <v>4</v>
      </c>
      <c r="G369">
        <v>48.36</v>
      </c>
    </row>
    <row r="370" spans="1:7" x14ac:dyDescent="0.3">
      <c r="A370">
        <v>7</v>
      </c>
      <c r="B370" t="s">
        <v>7</v>
      </c>
      <c r="C370">
        <v>613</v>
      </c>
      <c r="D370">
        <v>18</v>
      </c>
      <c r="E370">
        <v>1</v>
      </c>
      <c r="F370">
        <v>1</v>
      </c>
      <c r="G370">
        <v>42.76</v>
      </c>
    </row>
    <row r="371" spans="1:7" x14ac:dyDescent="0.3">
      <c r="A371">
        <v>7</v>
      </c>
      <c r="B371" t="s">
        <v>7</v>
      </c>
      <c r="C371">
        <v>613</v>
      </c>
      <c r="D371">
        <v>18</v>
      </c>
      <c r="E371">
        <v>1</v>
      </c>
      <c r="F371">
        <v>2</v>
      </c>
      <c r="G371">
        <v>50.52</v>
      </c>
    </row>
    <row r="372" spans="1:7" x14ac:dyDescent="0.3">
      <c r="A372">
        <v>7</v>
      </c>
      <c r="B372" t="s">
        <v>7</v>
      </c>
      <c r="C372">
        <v>613</v>
      </c>
      <c r="D372">
        <v>18</v>
      </c>
      <c r="E372">
        <v>1</v>
      </c>
      <c r="F372">
        <v>3</v>
      </c>
      <c r="G372">
        <v>56.86</v>
      </c>
    </row>
    <row r="373" spans="1:7" x14ac:dyDescent="0.3">
      <c r="A373">
        <v>7</v>
      </c>
      <c r="B373" t="s">
        <v>7</v>
      </c>
      <c r="C373">
        <v>613</v>
      </c>
      <c r="D373">
        <v>18</v>
      </c>
      <c r="E373">
        <v>1</v>
      </c>
      <c r="F373">
        <v>4</v>
      </c>
      <c r="G373">
        <v>47.51</v>
      </c>
    </row>
    <row r="374" spans="1:7" x14ac:dyDescent="0.3">
      <c r="A374">
        <v>7</v>
      </c>
      <c r="B374" t="s">
        <v>7</v>
      </c>
      <c r="C374">
        <v>614</v>
      </c>
      <c r="D374">
        <v>8</v>
      </c>
      <c r="E374">
        <v>2</v>
      </c>
      <c r="F374">
        <v>1</v>
      </c>
      <c r="G374">
        <v>38.56</v>
      </c>
    </row>
    <row r="375" spans="1:7" x14ac:dyDescent="0.3">
      <c r="A375">
        <v>7</v>
      </c>
      <c r="B375" t="s">
        <v>7</v>
      </c>
      <c r="C375">
        <v>614</v>
      </c>
      <c r="D375">
        <v>8</v>
      </c>
      <c r="E375">
        <v>2</v>
      </c>
      <c r="F375">
        <v>2</v>
      </c>
      <c r="G375">
        <v>37.29</v>
      </c>
    </row>
    <row r="376" spans="1:7" x14ac:dyDescent="0.3">
      <c r="A376">
        <v>7</v>
      </c>
      <c r="B376" t="s">
        <v>7</v>
      </c>
      <c r="C376">
        <v>614</v>
      </c>
      <c r="D376">
        <v>8</v>
      </c>
      <c r="E376">
        <v>2</v>
      </c>
      <c r="F376">
        <v>3</v>
      </c>
      <c r="G376">
        <v>35.6</v>
      </c>
    </row>
    <row r="377" spans="1:7" x14ac:dyDescent="0.3">
      <c r="A377">
        <v>7</v>
      </c>
      <c r="B377" t="s">
        <v>7</v>
      </c>
      <c r="C377">
        <v>614</v>
      </c>
      <c r="D377">
        <v>8</v>
      </c>
      <c r="E377">
        <v>2</v>
      </c>
      <c r="F377">
        <v>4</v>
      </c>
      <c r="G377">
        <v>33.35</v>
      </c>
    </row>
    <row r="378" spans="1:7" x14ac:dyDescent="0.3">
      <c r="A378">
        <v>7</v>
      </c>
      <c r="B378" t="s">
        <v>7</v>
      </c>
      <c r="C378">
        <v>615</v>
      </c>
      <c r="D378">
        <v>1</v>
      </c>
      <c r="E378">
        <v>2</v>
      </c>
      <c r="F378">
        <v>1</v>
      </c>
      <c r="G378">
        <v>48.5</v>
      </c>
    </row>
    <row r="379" spans="1:7" x14ac:dyDescent="0.3">
      <c r="A379">
        <v>7</v>
      </c>
      <c r="B379" t="s">
        <v>7</v>
      </c>
      <c r="C379">
        <v>615</v>
      </c>
      <c r="D379">
        <v>1</v>
      </c>
      <c r="E379">
        <v>2</v>
      </c>
      <c r="F379">
        <v>2</v>
      </c>
      <c r="G379">
        <v>36.799999999999997</v>
      </c>
    </row>
    <row r="380" spans="1:7" x14ac:dyDescent="0.3">
      <c r="A380">
        <v>7</v>
      </c>
      <c r="B380" t="s">
        <v>7</v>
      </c>
      <c r="C380">
        <v>615</v>
      </c>
      <c r="D380">
        <v>1</v>
      </c>
      <c r="E380">
        <v>2</v>
      </c>
      <c r="F380">
        <v>3</v>
      </c>
      <c r="G380">
        <v>48.32</v>
      </c>
    </row>
    <row r="381" spans="1:7" x14ac:dyDescent="0.3">
      <c r="A381">
        <v>7</v>
      </c>
      <c r="B381" t="s">
        <v>7</v>
      </c>
      <c r="C381">
        <v>615</v>
      </c>
      <c r="D381">
        <v>1</v>
      </c>
      <c r="E381">
        <v>2</v>
      </c>
      <c r="F381">
        <v>4</v>
      </c>
      <c r="G381">
        <v>41.54</v>
      </c>
    </row>
    <row r="382" spans="1:7" x14ac:dyDescent="0.3">
      <c r="A382">
        <v>8</v>
      </c>
      <c r="B382" t="s">
        <v>7</v>
      </c>
      <c r="C382">
        <v>701</v>
      </c>
      <c r="D382">
        <v>1</v>
      </c>
      <c r="E382">
        <v>3</v>
      </c>
      <c r="F382">
        <v>1</v>
      </c>
      <c r="G382">
        <v>53.56</v>
      </c>
    </row>
    <row r="383" spans="1:7" x14ac:dyDescent="0.3">
      <c r="A383">
        <v>8</v>
      </c>
      <c r="B383" t="s">
        <v>7</v>
      </c>
      <c r="C383">
        <v>701</v>
      </c>
      <c r="D383">
        <v>1</v>
      </c>
      <c r="E383">
        <v>3</v>
      </c>
      <c r="F383">
        <v>2</v>
      </c>
      <c r="G383">
        <v>49.72</v>
      </c>
    </row>
    <row r="384" spans="1:7" x14ac:dyDescent="0.3">
      <c r="A384">
        <v>8</v>
      </c>
      <c r="B384" t="s">
        <v>7</v>
      </c>
      <c r="C384">
        <v>701</v>
      </c>
      <c r="D384">
        <v>1</v>
      </c>
      <c r="E384">
        <v>3</v>
      </c>
      <c r="F384">
        <v>3</v>
      </c>
      <c r="G384">
        <v>48.77</v>
      </c>
    </row>
    <row r="385" spans="1:7" x14ac:dyDescent="0.3">
      <c r="A385">
        <v>8</v>
      </c>
      <c r="B385" t="s">
        <v>7</v>
      </c>
      <c r="C385">
        <v>701</v>
      </c>
      <c r="D385">
        <v>1</v>
      </c>
      <c r="E385">
        <v>3</v>
      </c>
      <c r="F385">
        <v>4</v>
      </c>
      <c r="G385">
        <v>46.84</v>
      </c>
    </row>
    <row r="386" spans="1:7" x14ac:dyDescent="0.3">
      <c r="A386">
        <v>8</v>
      </c>
      <c r="B386" t="s">
        <v>7</v>
      </c>
      <c r="C386">
        <v>702</v>
      </c>
      <c r="D386">
        <v>13</v>
      </c>
      <c r="E386">
        <v>1</v>
      </c>
      <c r="F386">
        <v>1</v>
      </c>
      <c r="G386">
        <v>51.82</v>
      </c>
    </row>
    <row r="387" spans="1:7" x14ac:dyDescent="0.3">
      <c r="A387">
        <v>8</v>
      </c>
      <c r="B387" t="s">
        <v>7</v>
      </c>
      <c r="C387">
        <v>702</v>
      </c>
      <c r="D387">
        <v>13</v>
      </c>
      <c r="E387">
        <v>1</v>
      </c>
      <c r="F387">
        <v>2</v>
      </c>
      <c r="G387">
        <v>45.02</v>
      </c>
    </row>
    <row r="388" spans="1:7" x14ac:dyDescent="0.3">
      <c r="A388">
        <v>8</v>
      </c>
      <c r="B388" t="s">
        <v>7</v>
      </c>
      <c r="C388">
        <v>702</v>
      </c>
      <c r="D388">
        <v>13</v>
      </c>
      <c r="E388">
        <v>1</v>
      </c>
      <c r="F388">
        <v>3</v>
      </c>
      <c r="G388">
        <v>49.44</v>
      </c>
    </row>
    <row r="389" spans="1:7" x14ac:dyDescent="0.3">
      <c r="A389">
        <v>8</v>
      </c>
      <c r="B389" t="s">
        <v>7</v>
      </c>
      <c r="C389">
        <v>702</v>
      </c>
      <c r="D389">
        <v>13</v>
      </c>
      <c r="E389">
        <v>1</v>
      </c>
      <c r="F389">
        <v>4</v>
      </c>
      <c r="G389">
        <v>51.32</v>
      </c>
    </row>
    <row r="390" spans="1:7" x14ac:dyDescent="0.3">
      <c r="A390">
        <v>8</v>
      </c>
      <c r="B390" t="s">
        <v>7</v>
      </c>
      <c r="C390">
        <v>703</v>
      </c>
      <c r="D390">
        <v>4</v>
      </c>
      <c r="E390">
        <v>1</v>
      </c>
      <c r="F390">
        <v>1</v>
      </c>
      <c r="G390">
        <v>52.85</v>
      </c>
    </row>
    <row r="391" spans="1:7" x14ac:dyDescent="0.3">
      <c r="A391">
        <v>8</v>
      </c>
      <c r="B391" t="s">
        <v>7</v>
      </c>
      <c r="C391">
        <v>703</v>
      </c>
      <c r="D391">
        <v>4</v>
      </c>
      <c r="E391">
        <v>1</v>
      </c>
      <c r="F391">
        <v>2</v>
      </c>
      <c r="G391">
        <v>40.840000000000003</v>
      </c>
    </row>
    <row r="392" spans="1:7" x14ac:dyDescent="0.3">
      <c r="A392">
        <v>8</v>
      </c>
      <c r="B392" t="s">
        <v>7</v>
      </c>
      <c r="C392">
        <v>703</v>
      </c>
      <c r="D392">
        <v>4</v>
      </c>
      <c r="E392">
        <v>1</v>
      </c>
      <c r="F392">
        <v>3</v>
      </c>
      <c r="G392">
        <v>64.45</v>
      </c>
    </row>
    <row r="393" spans="1:7" x14ac:dyDescent="0.3">
      <c r="A393">
        <v>8</v>
      </c>
      <c r="B393" t="s">
        <v>7</v>
      </c>
      <c r="C393">
        <v>703</v>
      </c>
      <c r="D393">
        <v>4</v>
      </c>
      <c r="E393">
        <v>1</v>
      </c>
      <c r="F393">
        <v>4</v>
      </c>
      <c r="G393">
        <v>44.43</v>
      </c>
    </row>
    <row r="394" spans="1:7" x14ac:dyDescent="0.3">
      <c r="A394">
        <v>8</v>
      </c>
      <c r="B394" t="s">
        <v>7</v>
      </c>
      <c r="C394">
        <v>704</v>
      </c>
      <c r="D394">
        <v>27</v>
      </c>
      <c r="E394">
        <v>1</v>
      </c>
      <c r="F394">
        <v>1</v>
      </c>
      <c r="G394">
        <v>56.64</v>
      </c>
    </row>
    <row r="395" spans="1:7" x14ac:dyDescent="0.3">
      <c r="A395">
        <v>8</v>
      </c>
      <c r="B395" t="s">
        <v>7</v>
      </c>
      <c r="C395">
        <v>704</v>
      </c>
      <c r="D395">
        <v>27</v>
      </c>
      <c r="E395">
        <v>1</v>
      </c>
      <c r="F395">
        <v>2</v>
      </c>
      <c r="G395">
        <v>46.06</v>
      </c>
    </row>
    <row r="396" spans="1:7" x14ac:dyDescent="0.3">
      <c r="A396">
        <v>8</v>
      </c>
      <c r="B396" t="s">
        <v>7</v>
      </c>
      <c r="C396">
        <v>704</v>
      </c>
      <c r="D396">
        <v>27</v>
      </c>
      <c r="E396">
        <v>1</v>
      </c>
      <c r="F396">
        <v>3</v>
      </c>
      <c r="G396">
        <v>55.46</v>
      </c>
    </row>
    <row r="397" spans="1:7" x14ac:dyDescent="0.3">
      <c r="A397">
        <v>8</v>
      </c>
      <c r="B397" t="s">
        <v>7</v>
      </c>
      <c r="C397">
        <v>704</v>
      </c>
      <c r="D397">
        <v>27</v>
      </c>
      <c r="E397">
        <v>1</v>
      </c>
      <c r="F397">
        <v>4</v>
      </c>
      <c r="G397">
        <v>51.41</v>
      </c>
    </row>
    <row r="398" spans="1:7" x14ac:dyDescent="0.3">
      <c r="A398">
        <v>8</v>
      </c>
      <c r="B398" t="s">
        <v>7</v>
      </c>
      <c r="C398">
        <v>705</v>
      </c>
      <c r="D398">
        <v>22</v>
      </c>
      <c r="E398">
        <v>3</v>
      </c>
      <c r="F398">
        <v>1</v>
      </c>
      <c r="G398">
        <v>49.67</v>
      </c>
    </row>
    <row r="399" spans="1:7" x14ac:dyDescent="0.3">
      <c r="A399">
        <v>8</v>
      </c>
      <c r="B399" t="s">
        <v>7</v>
      </c>
      <c r="C399">
        <v>705</v>
      </c>
      <c r="D399">
        <v>22</v>
      </c>
      <c r="E399">
        <v>3</v>
      </c>
      <c r="F399">
        <v>2</v>
      </c>
      <c r="G399">
        <v>49.98</v>
      </c>
    </row>
    <row r="400" spans="1:7" x14ac:dyDescent="0.3">
      <c r="A400">
        <v>8</v>
      </c>
      <c r="B400" t="s">
        <v>7</v>
      </c>
      <c r="C400">
        <v>705</v>
      </c>
      <c r="D400">
        <v>22</v>
      </c>
      <c r="E400">
        <v>3</v>
      </c>
      <c r="F400">
        <v>3</v>
      </c>
      <c r="G400">
        <v>49.5</v>
      </c>
    </row>
    <row r="401" spans="1:7" x14ac:dyDescent="0.3">
      <c r="A401">
        <v>8</v>
      </c>
      <c r="B401" t="s">
        <v>7</v>
      </c>
      <c r="C401">
        <v>705</v>
      </c>
      <c r="D401">
        <v>22</v>
      </c>
      <c r="E401">
        <v>3</v>
      </c>
      <c r="F401">
        <v>4</v>
      </c>
      <c r="G401">
        <v>47.35</v>
      </c>
    </row>
    <row r="402" spans="1:7" x14ac:dyDescent="0.3">
      <c r="A402">
        <v>8</v>
      </c>
      <c r="B402" t="s">
        <v>7</v>
      </c>
      <c r="C402">
        <v>706</v>
      </c>
      <c r="D402">
        <v>17</v>
      </c>
      <c r="E402">
        <v>3</v>
      </c>
      <c r="F402">
        <v>1</v>
      </c>
      <c r="G402">
        <v>50.26</v>
      </c>
    </row>
    <row r="403" spans="1:7" x14ac:dyDescent="0.3">
      <c r="A403">
        <v>8</v>
      </c>
      <c r="B403" t="s">
        <v>7</v>
      </c>
      <c r="C403">
        <v>706</v>
      </c>
      <c r="D403">
        <v>17</v>
      </c>
      <c r="E403">
        <v>3</v>
      </c>
      <c r="F403">
        <v>2</v>
      </c>
      <c r="G403">
        <v>52.05</v>
      </c>
    </row>
    <row r="404" spans="1:7" x14ac:dyDescent="0.3">
      <c r="A404">
        <v>8</v>
      </c>
      <c r="B404" t="s">
        <v>7</v>
      </c>
      <c r="C404">
        <v>706</v>
      </c>
      <c r="D404">
        <v>17</v>
      </c>
      <c r="E404">
        <v>3</v>
      </c>
      <c r="F404">
        <v>3</v>
      </c>
      <c r="G404">
        <v>51.14</v>
      </c>
    </row>
    <row r="405" spans="1:7" x14ac:dyDescent="0.3">
      <c r="A405">
        <v>8</v>
      </c>
      <c r="B405" t="s">
        <v>7</v>
      </c>
      <c r="C405">
        <v>706</v>
      </c>
      <c r="D405">
        <v>17</v>
      </c>
      <c r="E405">
        <v>3</v>
      </c>
      <c r="F405">
        <v>4</v>
      </c>
      <c r="G405">
        <v>46.3</v>
      </c>
    </row>
    <row r="406" spans="1:7" x14ac:dyDescent="0.3">
      <c r="A406">
        <v>8</v>
      </c>
      <c r="B406" t="s">
        <v>7</v>
      </c>
      <c r="C406">
        <v>707</v>
      </c>
      <c r="D406">
        <v>5</v>
      </c>
      <c r="E406">
        <v>1</v>
      </c>
      <c r="F406">
        <v>1</v>
      </c>
      <c r="G406">
        <v>56.99</v>
      </c>
    </row>
    <row r="407" spans="1:7" x14ac:dyDescent="0.3">
      <c r="A407">
        <v>8</v>
      </c>
      <c r="B407" t="s">
        <v>7</v>
      </c>
      <c r="C407">
        <v>707</v>
      </c>
      <c r="D407">
        <v>5</v>
      </c>
      <c r="E407">
        <v>1</v>
      </c>
      <c r="F407">
        <v>2</v>
      </c>
      <c r="G407">
        <v>45.57</v>
      </c>
    </row>
    <row r="408" spans="1:7" x14ac:dyDescent="0.3">
      <c r="A408">
        <v>8</v>
      </c>
      <c r="B408" t="s">
        <v>7</v>
      </c>
      <c r="C408">
        <v>707</v>
      </c>
      <c r="D408">
        <v>5</v>
      </c>
      <c r="E408">
        <v>1</v>
      </c>
      <c r="F408">
        <v>3</v>
      </c>
      <c r="G408">
        <v>45.92</v>
      </c>
    </row>
    <row r="409" spans="1:7" x14ac:dyDescent="0.3">
      <c r="A409">
        <v>8</v>
      </c>
      <c r="B409" t="s">
        <v>7</v>
      </c>
      <c r="C409">
        <v>707</v>
      </c>
      <c r="D409">
        <v>5</v>
      </c>
      <c r="E409">
        <v>1</v>
      </c>
      <c r="F409">
        <v>4</v>
      </c>
      <c r="G409">
        <v>50.52</v>
      </c>
    </row>
    <row r="410" spans="1:7" x14ac:dyDescent="0.3">
      <c r="A410">
        <v>8</v>
      </c>
      <c r="B410" t="s">
        <v>7</v>
      </c>
      <c r="C410">
        <v>708</v>
      </c>
      <c r="D410">
        <v>15</v>
      </c>
      <c r="E410">
        <v>2</v>
      </c>
      <c r="F410">
        <v>1</v>
      </c>
      <c r="G410">
        <v>32.61</v>
      </c>
    </row>
    <row r="411" spans="1:7" x14ac:dyDescent="0.3">
      <c r="A411">
        <v>8</v>
      </c>
      <c r="B411" t="s">
        <v>7</v>
      </c>
      <c r="C411">
        <v>708</v>
      </c>
      <c r="D411">
        <v>15</v>
      </c>
      <c r="E411">
        <v>2</v>
      </c>
      <c r="F411">
        <v>2</v>
      </c>
      <c r="G411">
        <v>57.27</v>
      </c>
    </row>
    <row r="412" spans="1:7" x14ac:dyDescent="0.3">
      <c r="A412">
        <v>8</v>
      </c>
      <c r="B412" t="s">
        <v>7</v>
      </c>
      <c r="C412">
        <v>708</v>
      </c>
      <c r="D412">
        <v>15</v>
      </c>
      <c r="E412">
        <v>2</v>
      </c>
      <c r="F412">
        <v>3</v>
      </c>
      <c r="G412">
        <v>37.32</v>
      </c>
    </row>
    <row r="413" spans="1:7" x14ac:dyDescent="0.3">
      <c r="A413">
        <v>8</v>
      </c>
      <c r="B413" t="s">
        <v>7</v>
      </c>
      <c r="C413">
        <v>708</v>
      </c>
      <c r="D413">
        <v>15</v>
      </c>
      <c r="E413">
        <v>2</v>
      </c>
      <c r="F413">
        <v>4</v>
      </c>
      <c r="G413">
        <v>41.22</v>
      </c>
    </row>
    <row r="414" spans="1:7" x14ac:dyDescent="0.3">
      <c r="A414">
        <v>8</v>
      </c>
      <c r="B414" t="s">
        <v>7</v>
      </c>
      <c r="C414">
        <v>709</v>
      </c>
      <c r="D414">
        <v>1</v>
      </c>
      <c r="E414">
        <v>2</v>
      </c>
      <c r="F414">
        <v>1</v>
      </c>
      <c r="G414">
        <v>39.729999999999997</v>
      </c>
    </row>
    <row r="415" spans="1:7" x14ac:dyDescent="0.3">
      <c r="A415">
        <v>8</v>
      </c>
      <c r="B415" t="s">
        <v>7</v>
      </c>
      <c r="C415">
        <v>709</v>
      </c>
      <c r="D415">
        <v>1</v>
      </c>
      <c r="E415">
        <v>2</v>
      </c>
      <c r="F415">
        <v>2</v>
      </c>
      <c r="G415">
        <v>50.3</v>
      </c>
    </row>
    <row r="416" spans="1:7" x14ac:dyDescent="0.3">
      <c r="A416">
        <v>8</v>
      </c>
      <c r="B416" t="s">
        <v>7</v>
      </c>
      <c r="C416">
        <v>709</v>
      </c>
      <c r="D416">
        <v>1</v>
      </c>
      <c r="E416">
        <v>2</v>
      </c>
      <c r="F416">
        <v>3</v>
      </c>
      <c r="G416">
        <v>40.159999999999997</v>
      </c>
    </row>
    <row r="417" spans="1:7" x14ac:dyDescent="0.3">
      <c r="A417">
        <v>8</v>
      </c>
      <c r="B417" t="s">
        <v>7</v>
      </c>
      <c r="C417">
        <v>709</v>
      </c>
      <c r="D417">
        <v>1</v>
      </c>
      <c r="E417">
        <v>2</v>
      </c>
      <c r="F417">
        <v>4</v>
      </c>
      <c r="G417">
        <v>41.37</v>
      </c>
    </row>
    <row r="418" spans="1:7" x14ac:dyDescent="0.3">
      <c r="A418">
        <v>8</v>
      </c>
      <c r="B418" t="s">
        <v>7</v>
      </c>
      <c r="C418">
        <v>710</v>
      </c>
      <c r="D418">
        <v>24</v>
      </c>
      <c r="E418">
        <v>3</v>
      </c>
      <c r="F418">
        <v>1</v>
      </c>
      <c r="G418">
        <v>54.79</v>
      </c>
    </row>
    <row r="419" spans="1:7" x14ac:dyDescent="0.3">
      <c r="A419">
        <v>8</v>
      </c>
      <c r="B419" t="s">
        <v>7</v>
      </c>
      <c r="C419">
        <v>710</v>
      </c>
      <c r="D419">
        <v>24</v>
      </c>
      <c r="E419">
        <v>3</v>
      </c>
      <c r="F419">
        <v>2</v>
      </c>
      <c r="G419">
        <v>52.39</v>
      </c>
    </row>
    <row r="420" spans="1:7" x14ac:dyDescent="0.3">
      <c r="A420">
        <v>8</v>
      </c>
      <c r="B420" t="s">
        <v>7</v>
      </c>
      <c r="C420">
        <v>710</v>
      </c>
      <c r="D420">
        <v>24</v>
      </c>
      <c r="E420">
        <v>3</v>
      </c>
      <c r="F420">
        <v>3</v>
      </c>
      <c r="G420">
        <v>42.15</v>
      </c>
    </row>
    <row r="421" spans="1:7" x14ac:dyDescent="0.3">
      <c r="A421">
        <v>8</v>
      </c>
      <c r="B421" t="s">
        <v>7</v>
      </c>
      <c r="C421">
        <v>710</v>
      </c>
      <c r="D421">
        <v>24</v>
      </c>
      <c r="E421">
        <v>3</v>
      </c>
      <c r="F421">
        <v>4</v>
      </c>
      <c r="G421">
        <v>49.63</v>
      </c>
    </row>
    <row r="422" spans="1:7" x14ac:dyDescent="0.3">
      <c r="A422">
        <v>8</v>
      </c>
      <c r="B422" t="s">
        <v>7</v>
      </c>
      <c r="C422">
        <v>711</v>
      </c>
      <c r="D422">
        <v>1</v>
      </c>
      <c r="E422">
        <v>1</v>
      </c>
      <c r="F422">
        <v>1</v>
      </c>
      <c r="G422">
        <v>54.95</v>
      </c>
    </row>
    <row r="423" spans="1:7" x14ac:dyDescent="0.3">
      <c r="A423">
        <v>8</v>
      </c>
      <c r="B423" t="s">
        <v>7</v>
      </c>
      <c r="C423">
        <v>711</v>
      </c>
      <c r="D423">
        <v>1</v>
      </c>
      <c r="E423">
        <v>1</v>
      </c>
      <c r="F423">
        <v>2</v>
      </c>
      <c r="G423">
        <v>55.78</v>
      </c>
    </row>
    <row r="424" spans="1:7" x14ac:dyDescent="0.3">
      <c r="A424">
        <v>8</v>
      </c>
      <c r="B424" t="s">
        <v>7</v>
      </c>
      <c r="C424">
        <v>711</v>
      </c>
      <c r="D424">
        <v>1</v>
      </c>
      <c r="E424">
        <v>1</v>
      </c>
      <c r="F424">
        <v>3</v>
      </c>
      <c r="G424">
        <v>46.49</v>
      </c>
    </row>
    <row r="425" spans="1:7" x14ac:dyDescent="0.3">
      <c r="A425">
        <v>8</v>
      </c>
      <c r="B425" t="s">
        <v>7</v>
      </c>
      <c r="C425">
        <v>711</v>
      </c>
      <c r="D425">
        <v>1</v>
      </c>
      <c r="E425">
        <v>1</v>
      </c>
      <c r="F425">
        <v>4</v>
      </c>
      <c r="G425">
        <v>56.84</v>
      </c>
    </row>
    <row r="426" spans="1:7" x14ac:dyDescent="0.3">
      <c r="A426">
        <v>8</v>
      </c>
      <c r="B426" t="s">
        <v>7</v>
      </c>
      <c r="C426">
        <v>712</v>
      </c>
      <c r="D426">
        <v>9</v>
      </c>
      <c r="E426">
        <v>3</v>
      </c>
      <c r="F426">
        <v>1</v>
      </c>
      <c r="G426">
        <v>48.06</v>
      </c>
    </row>
    <row r="427" spans="1:7" x14ac:dyDescent="0.3">
      <c r="A427">
        <v>8</v>
      </c>
      <c r="B427" t="s">
        <v>7</v>
      </c>
      <c r="C427">
        <v>712</v>
      </c>
      <c r="D427">
        <v>9</v>
      </c>
      <c r="E427">
        <v>3</v>
      </c>
      <c r="F427">
        <v>2</v>
      </c>
      <c r="G427">
        <v>51.09</v>
      </c>
    </row>
    <row r="428" spans="1:7" x14ac:dyDescent="0.3">
      <c r="A428">
        <v>8</v>
      </c>
      <c r="B428" t="s">
        <v>7</v>
      </c>
      <c r="C428">
        <v>712</v>
      </c>
      <c r="D428">
        <v>9</v>
      </c>
      <c r="E428">
        <v>3</v>
      </c>
      <c r="F428">
        <v>3</v>
      </c>
      <c r="G428">
        <v>44.19</v>
      </c>
    </row>
    <row r="429" spans="1:7" x14ac:dyDescent="0.3">
      <c r="A429">
        <v>8</v>
      </c>
      <c r="B429" t="s">
        <v>7</v>
      </c>
      <c r="C429">
        <v>712</v>
      </c>
      <c r="D429">
        <v>9</v>
      </c>
      <c r="E429">
        <v>3</v>
      </c>
      <c r="F429">
        <v>4</v>
      </c>
      <c r="G429">
        <v>49.52</v>
      </c>
    </row>
    <row r="430" spans="1:7" x14ac:dyDescent="0.3">
      <c r="A430">
        <v>9</v>
      </c>
      <c r="B430" t="s">
        <v>7</v>
      </c>
      <c r="C430">
        <v>801</v>
      </c>
      <c r="D430">
        <v>3</v>
      </c>
      <c r="E430">
        <v>1</v>
      </c>
      <c r="F430">
        <v>1</v>
      </c>
      <c r="G430">
        <v>65.11</v>
      </c>
    </row>
    <row r="431" spans="1:7" x14ac:dyDescent="0.3">
      <c r="A431">
        <v>9</v>
      </c>
      <c r="B431" t="s">
        <v>7</v>
      </c>
      <c r="C431">
        <v>801</v>
      </c>
      <c r="D431">
        <v>3</v>
      </c>
      <c r="E431">
        <v>1</v>
      </c>
      <c r="F431">
        <v>2</v>
      </c>
      <c r="G431">
        <v>54.38</v>
      </c>
    </row>
    <row r="432" spans="1:7" x14ac:dyDescent="0.3">
      <c r="A432">
        <v>9</v>
      </c>
      <c r="B432" t="s">
        <v>7</v>
      </c>
      <c r="C432">
        <v>801</v>
      </c>
      <c r="D432">
        <v>3</v>
      </c>
      <c r="E432">
        <v>1</v>
      </c>
      <c r="F432">
        <v>3</v>
      </c>
      <c r="G432">
        <v>57.14</v>
      </c>
    </row>
    <row r="433" spans="1:7" x14ac:dyDescent="0.3">
      <c r="A433">
        <v>9</v>
      </c>
      <c r="B433" t="s">
        <v>7</v>
      </c>
      <c r="C433">
        <v>801</v>
      </c>
      <c r="D433">
        <v>3</v>
      </c>
      <c r="E433">
        <v>1</v>
      </c>
      <c r="F433">
        <v>4</v>
      </c>
      <c r="G433">
        <v>49.91</v>
      </c>
    </row>
    <row r="434" spans="1:7" x14ac:dyDescent="0.3">
      <c r="A434">
        <v>9</v>
      </c>
      <c r="B434" t="s">
        <v>7</v>
      </c>
      <c r="C434">
        <v>802</v>
      </c>
      <c r="D434">
        <v>9</v>
      </c>
      <c r="E434">
        <v>2</v>
      </c>
      <c r="F434">
        <v>1</v>
      </c>
      <c r="G434">
        <v>48.76</v>
      </c>
    </row>
    <row r="435" spans="1:7" x14ac:dyDescent="0.3">
      <c r="A435">
        <v>9</v>
      </c>
      <c r="B435" t="s">
        <v>7</v>
      </c>
      <c r="C435">
        <v>802</v>
      </c>
      <c r="D435">
        <v>9</v>
      </c>
      <c r="E435">
        <v>2</v>
      </c>
      <c r="F435">
        <v>2</v>
      </c>
      <c r="G435">
        <v>44.14</v>
      </c>
    </row>
    <row r="436" spans="1:7" x14ac:dyDescent="0.3">
      <c r="A436">
        <v>9</v>
      </c>
      <c r="B436" t="s">
        <v>7</v>
      </c>
      <c r="C436">
        <v>802</v>
      </c>
      <c r="D436">
        <v>9</v>
      </c>
      <c r="E436">
        <v>2</v>
      </c>
      <c r="F436">
        <v>3</v>
      </c>
      <c r="G436">
        <v>58.1</v>
      </c>
    </row>
    <row r="437" spans="1:7" x14ac:dyDescent="0.3">
      <c r="A437">
        <v>9</v>
      </c>
      <c r="B437" t="s">
        <v>7</v>
      </c>
      <c r="C437">
        <v>802</v>
      </c>
      <c r="D437">
        <v>9</v>
      </c>
      <c r="E437">
        <v>2</v>
      </c>
      <c r="F437">
        <v>4</v>
      </c>
      <c r="G437">
        <v>44.16</v>
      </c>
    </row>
    <row r="438" spans="1:7" x14ac:dyDescent="0.3">
      <c r="A438">
        <v>9</v>
      </c>
      <c r="B438" t="s">
        <v>7</v>
      </c>
      <c r="C438">
        <v>803</v>
      </c>
      <c r="D438">
        <v>10</v>
      </c>
      <c r="E438">
        <v>3</v>
      </c>
      <c r="F438">
        <v>1</v>
      </c>
      <c r="G438">
        <v>44.66</v>
      </c>
    </row>
    <row r="439" spans="1:7" x14ac:dyDescent="0.3">
      <c r="A439">
        <v>9</v>
      </c>
      <c r="B439" t="s">
        <v>7</v>
      </c>
      <c r="C439">
        <v>803</v>
      </c>
      <c r="D439">
        <v>10</v>
      </c>
      <c r="E439">
        <v>3</v>
      </c>
      <c r="F439">
        <v>2</v>
      </c>
      <c r="G439">
        <v>53.78</v>
      </c>
    </row>
    <row r="440" spans="1:7" x14ac:dyDescent="0.3">
      <c r="A440">
        <v>9</v>
      </c>
      <c r="B440" t="s">
        <v>7</v>
      </c>
      <c r="C440">
        <v>803</v>
      </c>
      <c r="D440">
        <v>10</v>
      </c>
      <c r="E440">
        <v>3</v>
      </c>
      <c r="F440">
        <v>3</v>
      </c>
      <c r="G440">
        <v>43.91</v>
      </c>
    </row>
    <row r="441" spans="1:7" x14ac:dyDescent="0.3">
      <c r="A441">
        <v>9</v>
      </c>
      <c r="B441" t="s">
        <v>7</v>
      </c>
      <c r="C441">
        <v>803</v>
      </c>
      <c r="D441">
        <v>10</v>
      </c>
      <c r="E441">
        <v>3</v>
      </c>
      <c r="F441">
        <v>4</v>
      </c>
      <c r="G441">
        <v>52.41</v>
      </c>
    </row>
    <row r="442" spans="1:7" x14ac:dyDescent="0.3">
      <c r="A442">
        <v>9</v>
      </c>
      <c r="B442" t="s">
        <v>7</v>
      </c>
      <c r="C442">
        <v>804</v>
      </c>
      <c r="D442">
        <v>1</v>
      </c>
      <c r="E442">
        <v>1</v>
      </c>
      <c r="F442">
        <v>1</v>
      </c>
      <c r="G442">
        <v>50.54</v>
      </c>
    </row>
    <row r="443" spans="1:7" x14ac:dyDescent="0.3">
      <c r="A443">
        <v>9</v>
      </c>
      <c r="B443" t="s">
        <v>7</v>
      </c>
      <c r="C443">
        <v>804</v>
      </c>
      <c r="D443">
        <v>1</v>
      </c>
      <c r="E443">
        <v>1</v>
      </c>
      <c r="F443">
        <v>2</v>
      </c>
      <c r="G443">
        <v>58.43</v>
      </c>
    </row>
    <row r="444" spans="1:7" x14ac:dyDescent="0.3">
      <c r="A444">
        <v>9</v>
      </c>
      <c r="B444" t="s">
        <v>7</v>
      </c>
      <c r="C444">
        <v>804</v>
      </c>
      <c r="D444">
        <v>1</v>
      </c>
      <c r="E444">
        <v>1</v>
      </c>
      <c r="F444">
        <v>3</v>
      </c>
      <c r="G444">
        <v>59.77</v>
      </c>
    </row>
    <row r="445" spans="1:7" x14ac:dyDescent="0.3">
      <c r="A445">
        <v>9</v>
      </c>
      <c r="B445" t="s">
        <v>7</v>
      </c>
      <c r="C445">
        <v>804</v>
      </c>
      <c r="D445">
        <v>1</v>
      </c>
      <c r="E445">
        <v>1</v>
      </c>
      <c r="F445">
        <v>4</v>
      </c>
      <c r="G445">
        <v>60.44</v>
      </c>
    </row>
    <row r="446" spans="1:7" x14ac:dyDescent="0.3">
      <c r="A446">
        <v>9</v>
      </c>
      <c r="B446" t="s">
        <v>7</v>
      </c>
      <c r="C446">
        <v>805</v>
      </c>
      <c r="D446">
        <v>6</v>
      </c>
      <c r="E446">
        <v>3</v>
      </c>
      <c r="F446">
        <v>1</v>
      </c>
      <c r="G446">
        <v>50.94</v>
      </c>
    </row>
    <row r="447" spans="1:7" x14ac:dyDescent="0.3">
      <c r="A447">
        <v>9</v>
      </c>
      <c r="B447" t="s">
        <v>7</v>
      </c>
      <c r="C447">
        <v>805</v>
      </c>
      <c r="D447">
        <v>6</v>
      </c>
      <c r="E447">
        <v>3</v>
      </c>
      <c r="F447">
        <v>2</v>
      </c>
      <c r="G447">
        <v>49.38</v>
      </c>
    </row>
    <row r="448" spans="1:7" x14ac:dyDescent="0.3">
      <c r="A448">
        <v>9</v>
      </c>
      <c r="B448" t="s">
        <v>7</v>
      </c>
      <c r="C448">
        <v>805</v>
      </c>
      <c r="D448">
        <v>6</v>
      </c>
      <c r="E448">
        <v>3</v>
      </c>
      <c r="F448">
        <v>3</v>
      </c>
      <c r="G448">
        <v>63.98</v>
      </c>
    </row>
    <row r="449" spans="1:7" x14ac:dyDescent="0.3">
      <c r="A449">
        <v>9</v>
      </c>
      <c r="B449" t="s">
        <v>7</v>
      </c>
      <c r="C449">
        <v>805</v>
      </c>
      <c r="D449">
        <v>6</v>
      </c>
      <c r="E449">
        <v>3</v>
      </c>
      <c r="F449">
        <v>4</v>
      </c>
      <c r="G449">
        <v>45.84</v>
      </c>
    </row>
    <row r="450" spans="1:7" x14ac:dyDescent="0.3">
      <c r="A450">
        <v>9</v>
      </c>
      <c r="B450" t="s">
        <v>7</v>
      </c>
      <c r="C450">
        <v>806</v>
      </c>
      <c r="D450">
        <v>5</v>
      </c>
      <c r="E450">
        <v>3</v>
      </c>
      <c r="F450">
        <v>1</v>
      </c>
      <c r="G450">
        <v>51.01</v>
      </c>
    </row>
    <row r="451" spans="1:7" x14ac:dyDescent="0.3">
      <c r="A451">
        <v>9</v>
      </c>
      <c r="B451" t="s">
        <v>7</v>
      </c>
      <c r="C451">
        <v>806</v>
      </c>
      <c r="D451">
        <v>5</v>
      </c>
      <c r="E451">
        <v>3</v>
      </c>
      <c r="F451">
        <v>2</v>
      </c>
      <c r="G451">
        <v>56.16</v>
      </c>
    </row>
    <row r="452" spans="1:7" x14ac:dyDescent="0.3">
      <c r="A452">
        <v>9</v>
      </c>
      <c r="B452" t="s">
        <v>7</v>
      </c>
      <c r="C452">
        <v>806</v>
      </c>
      <c r="D452">
        <v>5</v>
      </c>
      <c r="E452">
        <v>3</v>
      </c>
      <c r="F452">
        <v>3</v>
      </c>
      <c r="G452">
        <v>45.77</v>
      </c>
    </row>
    <row r="453" spans="1:7" x14ac:dyDescent="0.3">
      <c r="A453">
        <v>9</v>
      </c>
      <c r="B453" t="s">
        <v>7</v>
      </c>
      <c r="C453">
        <v>806</v>
      </c>
      <c r="D453">
        <v>5</v>
      </c>
      <c r="E453">
        <v>3</v>
      </c>
      <c r="F453">
        <v>4</v>
      </c>
      <c r="G453">
        <v>46.47</v>
      </c>
    </row>
    <row r="454" spans="1:7" x14ac:dyDescent="0.3">
      <c r="A454">
        <v>9</v>
      </c>
      <c r="B454" t="s">
        <v>7</v>
      </c>
      <c r="C454">
        <v>807</v>
      </c>
      <c r="D454">
        <v>1</v>
      </c>
      <c r="E454">
        <v>2</v>
      </c>
      <c r="F454">
        <v>1</v>
      </c>
      <c r="G454">
        <v>46.02</v>
      </c>
    </row>
    <row r="455" spans="1:7" x14ac:dyDescent="0.3">
      <c r="A455">
        <v>9</v>
      </c>
      <c r="B455" t="s">
        <v>7</v>
      </c>
      <c r="C455">
        <v>807</v>
      </c>
      <c r="D455">
        <v>1</v>
      </c>
      <c r="E455">
        <v>2</v>
      </c>
      <c r="F455">
        <v>2</v>
      </c>
      <c r="G455">
        <v>51.09</v>
      </c>
    </row>
    <row r="456" spans="1:7" x14ac:dyDescent="0.3">
      <c r="A456">
        <v>9</v>
      </c>
      <c r="B456" t="s">
        <v>7</v>
      </c>
      <c r="C456">
        <v>807</v>
      </c>
      <c r="D456">
        <v>1</v>
      </c>
      <c r="E456">
        <v>2</v>
      </c>
      <c r="F456">
        <v>3</v>
      </c>
      <c r="G456">
        <v>51.68</v>
      </c>
    </row>
    <row r="457" spans="1:7" x14ac:dyDescent="0.3">
      <c r="A457">
        <v>9</v>
      </c>
      <c r="B457" t="s">
        <v>7</v>
      </c>
      <c r="C457">
        <v>807</v>
      </c>
      <c r="D457">
        <v>1</v>
      </c>
      <c r="E457">
        <v>2</v>
      </c>
      <c r="F457">
        <v>4</v>
      </c>
      <c r="G457">
        <v>55.91</v>
      </c>
    </row>
    <row r="458" spans="1:7" x14ac:dyDescent="0.3">
      <c r="A458">
        <v>9</v>
      </c>
      <c r="B458" t="s">
        <v>7</v>
      </c>
      <c r="C458">
        <v>808</v>
      </c>
      <c r="D458">
        <v>20</v>
      </c>
      <c r="E458">
        <v>3</v>
      </c>
      <c r="F458">
        <v>1</v>
      </c>
      <c r="G458">
        <v>55.9</v>
      </c>
    </row>
    <row r="459" spans="1:7" x14ac:dyDescent="0.3">
      <c r="A459">
        <v>9</v>
      </c>
      <c r="B459" t="s">
        <v>7</v>
      </c>
      <c r="C459">
        <v>808</v>
      </c>
      <c r="D459">
        <v>20</v>
      </c>
      <c r="E459">
        <v>3</v>
      </c>
      <c r="F459">
        <v>2</v>
      </c>
      <c r="G459">
        <v>59.8</v>
      </c>
    </row>
    <row r="460" spans="1:7" x14ac:dyDescent="0.3">
      <c r="A460">
        <v>9</v>
      </c>
      <c r="B460" t="s">
        <v>7</v>
      </c>
      <c r="C460">
        <v>808</v>
      </c>
      <c r="D460">
        <v>20</v>
      </c>
      <c r="E460">
        <v>3</v>
      </c>
      <c r="F460">
        <v>3</v>
      </c>
      <c r="G460">
        <v>60.97</v>
      </c>
    </row>
    <row r="461" spans="1:7" x14ac:dyDescent="0.3">
      <c r="A461">
        <v>9</v>
      </c>
      <c r="B461" t="s">
        <v>7</v>
      </c>
      <c r="C461">
        <v>808</v>
      </c>
      <c r="D461">
        <v>20</v>
      </c>
      <c r="E461">
        <v>3</v>
      </c>
      <c r="F461">
        <v>4</v>
      </c>
      <c r="G461">
        <v>64.14</v>
      </c>
    </row>
    <row r="462" spans="1:7" x14ac:dyDescent="0.3">
      <c r="A462">
        <v>9</v>
      </c>
      <c r="B462" t="s">
        <v>7</v>
      </c>
      <c r="C462">
        <v>809</v>
      </c>
      <c r="D462">
        <v>9</v>
      </c>
      <c r="E462">
        <v>3</v>
      </c>
      <c r="F462">
        <v>1</v>
      </c>
      <c r="G462">
        <v>39.979999999999997</v>
      </c>
    </row>
    <row r="463" spans="1:7" x14ac:dyDescent="0.3">
      <c r="A463">
        <v>9</v>
      </c>
      <c r="B463" t="s">
        <v>7</v>
      </c>
      <c r="C463">
        <v>809</v>
      </c>
      <c r="D463">
        <v>9</v>
      </c>
      <c r="E463">
        <v>3</v>
      </c>
      <c r="F463">
        <v>2</v>
      </c>
      <c r="G463">
        <v>54.58</v>
      </c>
    </row>
    <row r="464" spans="1:7" x14ac:dyDescent="0.3">
      <c r="A464">
        <v>9</v>
      </c>
      <c r="B464" t="s">
        <v>7</v>
      </c>
      <c r="C464">
        <v>809</v>
      </c>
      <c r="D464">
        <v>9</v>
      </c>
      <c r="E464">
        <v>3</v>
      </c>
      <c r="F464">
        <v>3</v>
      </c>
      <c r="G464">
        <v>52.64</v>
      </c>
    </row>
    <row r="465" spans="1:7" x14ac:dyDescent="0.3">
      <c r="A465">
        <v>9</v>
      </c>
      <c r="B465" t="s">
        <v>7</v>
      </c>
      <c r="C465">
        <v>809</v>
      </c>
      <c r="D465">
        <v>9</v>
      </c>
      <c r="E465">
        <v>3</v>
      </c>
      <c r="F465">
        <v>4</v>
      </c>
      <c r="G465">
        <v>45.43</v>
      </c>
    </row>
    <row r="466" spans="1:7" x14ac:dyDescent="0.3">
      <c r="A466">
        <v>9</v>
      </c>
      <c r="B466" t="s">
        <v>7</v>
      </c>
      <c r="C466">
        <v>810</v>
      </c>
      <c r="D466">
        <v>13</v>
      </c>
      <c r="E466">
        <v>1</v>
      </c>
      <c r="F466">
        <v>1</v>
      </c>
      <c r="G466">
        <v>49.3</v>
      </c>
    </row>
    <row r="467" spans="1:7" x14ac:dyDescent="0.3">
      <c r="A467">
        <v>9</v>
      </c>
      <c r="B467" t="s">
        <v>7</v>
      </c>
      <c r="C467">
        <v>810</v>
      </c>
      <c r="D467">
        <v>13</v>
      </c>
      <c r="E467">
        <v>1</v>
      </c>
      <c r="F467">
        <v>2</v>
      </c>
      <c r="G467">
        <v>61.8</v>
      </c>
    </row>
    <row r="468" spans="1:7" x14ac:dyDescent="0.3">
      <c r="A468">
        <v>9</v>
      </c>
      <c r="B468" t="s">
        <v>7</v>
      </c>
      <c r="C468">
        <v>810</v>
      </c>
      <c r="D468">
        <v>13</v>
      </c>
      <c r="E468">
        <v>1</v>
      </c>
      <c r="F468">
        <v>3</v>
      </c>
      <c r="G468">
        <v>58</v>
      </c>
    </row>
    <row r="469" spans="1:7" x14ac:dyDescent="0.3">
      <c r="A469">
        <v>9</v>
      </c>
      <c r="B469" t="s">
        <v>7</v>
      </c>
      <c r="C469">
        <v>810</v>
      </c>
      <c r="D469">
        <v>13</v>
      </c>
      <c r="E469">
        <v>1</v>
      </c>
      <c r="F469">
        <v>4</v>
      </c>
      <c r="G469">
        <v>55.2</v>
      </c>
    </row>
    <row r="470" spans="1:7" x14ac:dyDescent="0.3">
      <c r="A470">
        <v>10</v>
      </c>
      <c r="B470" t="s">
        <v>9</v>
      </c>
      <c r="C470">
        <v>901</v>
      </c>
      <c r="D470">
        <v>7</v>
      </c>
      <c r="E470">
        <v>2</v>
      </c>
      <c r="F470">
        <v>1</v>
      </c>
      <c r="G470">
        <v>53.76</v>
      </c>
    </row>
    <row r="471" spans="1:7" x14ac:dyDescent="0.3">
      <c r="A471">
        <v>10</v>
      </c>
      <c r="B471" t="s">
        <v>9</v>
      </c>
      <c r="C471">
        <v>901</v>
      </c>
      <c r="D471">
        <v>7</v>
      </c>
      <c r="E471">
        <v>2</v>
      </c>
      <c r="F471">
        <v>2</v>
      </c>
      <c r="G471">
        <v>39.36</v>
      </c>
    </row>
    <row r="472" spans="1:7" x14ac:dyDescent="0.3">
      <c r="A472">
        <v>10</v>
      </c>
      <c r="B472" t="s">
        <v>9</v>
      </c>
      <c r="C472">
        <v>901</v>
      </c>
      <c r="D472">
        <v>7</v>
      </c>
      <c r="E472">
        <v>2</v>
      </c>
      <c r="F472">
        <v>3</v>
      </c>
      <c r="G472">
        <v>47.2</v>
      </c>
    </row>
    <row r="473" spans="1:7" x14ac:dyDescent="0.3">
      <c r="A473">
        <v>10</v>
      </c>
      <c r="B473" t="s">
        <v>9</v>
      </c>
      <c r="C473">
        <v>901</v>
      </c>
      <c r="D473">
        <v>7</v>
      </c>
      <c r="E473">
        <v>2</v>
      </c>
      <c r="F473">
        <v>4</v>
      </c>
      <c r="G473">
        <v>53.66</v>
      </c>
    </row>
    <row r="474" spans="1:7" x14ac:dyDescent="0.3">
      <c r="A474">
        <v>10</v>
      </c>
      <c r="B474" t="s">
        <v>9</v>
      </c>
      <c r="C474">
        <v>902</v>
      </c>
      <c r="D474">
        <v>1</v>
      </c>
      <c r="E474">
        <v>1</v>
      </c>
      <c r="F474">
        <v>1</v>
      </c>
      <c r="G474">
        <v>61.53</v>
      </c>
    </row>
    <row r="475" spans="1:7" x14ac:dyDescent="0.3">
      <c r="A475">
        <v>10</v>
      </c>
      <c r="B475" t="s">
        <v>9</v>
      </c>
      <c r="C475">
        <v>902</v>
      </c>
      <c r="D475">
        <v>1</v>
      </c>
      <c r="E475">
        <v>1</v>
      </c>
      <c r="F475">
        <v>2</v>
      </c>
      <c r="G475">
        <v>59.17</v>
      </c>
    </row>
    <row r="476" spans="1:7" x14ac:dyDescent="0.3">
      <c r="A476">
        <v>10</v>
      </c>
      <c r="B476" t="s">
        <v>9</v>
      </c>
      <c r="C476">
        <v>902</v>
      </c>
      <c r="D476">
        <v>1</v>
      </c>
      <c r="E476">
        <v>1</v>
      </c>
      <c r="F476">
        <v>3</v>
      </c>
      <c r="G476">
        <v>63.73</v>
      </c>
    </row>
    <row r="477" spans="1:7" x14ac:dyDescent="0.3">
      <c r="A477">
        <v>10</v>
      </c>
      <c r="B477" t="s">
        <v>9</v>
      </c>
      <c r="C477">
        <v>902</v>
      </c>
      <c r="D477">
        <v>1</v>
      </c>
      <c r="E477">
        <v>1</v>
      </c>
      <c r="F477">
        <v>4</v>
      </c>
      <c r="G477">
        <v>61.77</v>
      </c>
    </row>
    <row r="478" spans="1:7" x14ac:dyDescent="0.3">
      <c r="A478">
        <v>10</v>
      </c>
      <c r="B478" t="s">
        <v>9</v>
      </c>
      <c r="C478">
        <v>903</v>
      </c>
      <c r="D478">
        <v>7</v>
      </c>
      <c r="E478">
        <v>3</v>
      </c>
      <c r="F478">
        <v>1</v>
      </c>
      <c r="G478">
        <v>51.89</v>
      </c>
    </row>
    <row r="479" spans="1:7" x14ac:dyDescent="0.3">
      <c r="A479">
        <v>10</v>
      </c>
      <c r="B479" t="s">
        <v>9</v>
      </c>
      <c r="C479">
        <v>903</v>
      </c>
      <c r="D479">
        <v>7</v>
      </c>
      <c r="E479">
        <v>3</v>
      </c>
      <c r="F479">
        <v>2</v>
      </c>
      <c r="G479">
        <v>51.17</v>
      </c>
    </row>
    <row r="480" spans="1:7" x14ac:dyDescent="0.3">
      <c r="A480">
        <v>10</v>
      </c>
      <c r="B480" t="s">
        <v>9</v>
      </c>
      <c r="C480">
        <v>903</v>
      </c>
      <c r="D480">
        <v>7</v>
      </c>
      <c r="E480">
        <v>3</v>
      </c>
      <c r="F480">
        <v>3</v>
      </c>
      <c r="G480">
        <v>54.33</v>
      </c>
    </row>
    <row r="481" spans="1:7" x14ac:dyDescent="0.3">
      <c r="A481">
        <v>10</v>
      </c>
      <c r="B481" t="s">
        <v>9</v>
      </c>
      <c r="C481">
        <v>903</v>
      </c>
      <c r="D481">
        <v>7</v>
      </c>
      <c r="E481">
        <v>3</v>
      </c>
      <c r="F481">
        <v>4</v>
      </c>
      <c r="G481">
        <v>50.05</v>
      </c>
    </row>
    <row r="482" spans="1:7" x14ac:dyDescent="0.3">
      <c r="A482">
        <v>10</v>
      </c>
      <c r="B482" t="s">
        <v>9</v>
      </c>
      <c r="C482">
        <v>904</v>
      </c>
      <c r="D482">
        <v>10</v>
      </c>
      <c r="E482">
        <v>2</v>
      </c>
      <c r="F482">
        <v>1</v>
      </c>
      <c r="G482">
        <v>51.09</v>
      </c>
    </row>
    <row r="483" spans="1:7" x14ac:dyDescent="0.3">
      <c r="A483">
        <v>10</v>
      </c>
      <c r="B483" t="s">
        <v>9</v>
      </c>
      <c r="C483">
        <v>904</v>
      </c>
      <c r="D483">
        <v>10</v>
      </c>
      <c r="E483">
        <v>2</v>
      </c>
      <c r="F483">
        <v>2</v>
      </c>
      <c r="G483">
        <v>54.82</v>
      </c>
    </row>
    <row r="484" spans="1:7" x14ac:dyDescent="0.3">
      <c r="A484">
        <v>10</v>
      </c>
      <c r="B484" t="s">
        <v>9</v>
      </c>
      <c r="C484">
        <v>904</v>
      </c>
      <c r="D484">
        <v>10</v>
      </c>
      <c r="E484">
        <v>2</v>
      </c>
      <c r="F484">
        <v>3</v>
      </c>
      <c r="G484">
        <v>44.16</v>
      </c>
    </row>
    <row r="485" spans="1:7" x14ac:dyDescent="0.3">
      <c r="A485">
        <v>10</v>
      </c>
      <c r="B485" t="s">
        <v>9</v>
      </c>
      <c r="C485">
        <v>904</v>
      </c>
      <c r="D485">
        <v>10</v>
      </c>
      <c r="E485">
        <v>2</v>
      </c>
      <c r="F485">
        <v>4</v>
      </c>
      <c r="G485">
        <v>53.95</v>
      </c>
    </row>
    <row r="486" spans="1:7" x14ac:dyDescent="0.3">
      <c r="A486">
        <v>10</v>
      </c>
      <c r="B486" t="s">
        <v>9</v>
      </c>
      <c r="C486">
        <v>905</v>
      </c>
      <c r="D486">
        <v>2</v>
      </c>
      <c r="E486">
        <v>3</v>
      </c>
      <c r="F486">
        <v>1</v>
      </c>
      <c r="G486">
        <v>54.34</v>
      </c>
    </row>
    <row r="487" spans="1:7" x14ac:dyDescent="0.3">
      <c r="A487">
        <v>10</v>
      </c>
      <c r="B487" t="s">
        <v>9</v>
      </c>
      <c r="C487">
        <v>905</v>
      </c>
      <c r="D487">
        <v>2</v>
      </c>
      <c r="E487">
        <v>3</v>
      </c>
      <c r="F487">
        <v>2</v>
      </c>
      <c r="G487">
        <v>60.24</v>
      </c>
    </row>
    <row r="488" spans="1:7" x14ac:dyDescent="0.3">
      <c r="A488">
        <v>10</v>
      </c>
      <c r="B488" t="s">
        <v>9</v>
      </c>
      <c r="C488">
        <v>905</v>
      </c>
      <c r="D488">
        <v>2</v>
      </c>
      <c r="E488">
        <v>3</v>
      </c>
      <c r="F488">
        <v>3</v>
      </c>
      <c r="G488">
        <v>56.39</v>
      </c>
    </row>
    <row r="489" spans="1:7" x14ac:dyDescent="0.3">
      <c r="A489">
        <v>10</v>
      </c>
      <c r="B489" t="s">
        <v>9</v>
      </c>
      <c r="C489">
        <v>905</v>
      </c>
      <c r="D489">
        <v>2</v>
      </c>
      <c r="E489">
        <v>3</v>
      </c>
      <c r="F489">
        <v>4</v>
      </c>
      <c r="G489">
        <v>58.33</v>
      </c>
    </row>
    <row r="490" spans="1:7" x14ac:dyDescent="0.3">
      <c r="A490">
        <v>10</v>
      </c>
      <c r="B490" t="s">
        <v>9</v>
      </c>
      <c r="C490">
        <v>906</v>
      </c>
      <c r="D490">
        <v>13</v>
      </c>
      <c r="E490">
        <v>2</v>
      </c>
      <c r="F490">
        <v>1</v>
      </c>
      <c r="G490">
        <v>51.26</v>
      </c>
    </row>
    <row r="491" spans="1:7" x14ac:dyDescent="0.3">
      <c r="A491">
        <v>10</v>
      </c>
      <c r="B491" t="s">
        <v>9</v>
      </c>
      <c r="C491">
        <v>906</v>
      </c>
      <c r="D491">
        <v>13</v>
      </c>
      <c r="E491">
        <v>2</v>
      </c>
      <c r="F491">
        <v>2</v>
      </c>
      <c r="G491">
        <v>51.73</v>
      </c>
    </row>
    <row r="492" spans="1:7" x14ac:dyDescent="0.3">
      <c r="A492">
        <v>10</v>
      </c>
      <c r="B492" t="s">
        <v>9</v>
      </c>
      <c r="C492">
        <v>906</v>
      </c>
      <c r="D492">
        <v>13</v>
      </c>
      <c r="E492">
        <v>2</v>
      </c>
      <c r="F492">
        <v>3</v>
      </c>
      <c r="G492">
        <v>51.35</v>
      </c>
    </row>
    <row r="493" spans="1:7" x14ac:dyDescent="0.3">
      <c r="A493">
        <v>10</v>
      </c>
      <c r="B493" t="s">
        <v>9</v>
      </c>
      <c r="C493">
        <v>906</v>
      </c>
      <c r="D493">
        <v>13</v>
      </c>
      <c r="E493">
        <v>2</v>
      </c>
      <c r="F493">
        <v>4</v>
      </c>
      <c r="G493">
        <v>41.85</v>
      </c>
    </row>
    <row r="494" spans="1:7" x14ac:dyDescent="0.3">
      <c r="A494">
        <v>10</v>
      </c>
      <c r="B494" t="s">
        <v>9</v>
      </c>
      <c r="C494">
        <v>907</v>
      </c>
      <c r="D494">
        <v>10</v>
      </c>
      <c r="E494">
        <v>2</v>
      </c>
      <c r="F494">
        <v>1</v>
      </c>
      <c r="G494">
        <v>45.21</v>
      </c>
    </row>
    <row r="495" spans="1:7" x14ac:dyDescent="0.3">
      <c r="A495">
        <v>10</v>
      </c>
      <c r="B495" t="s">
        <v>9</v>
      </c>
      <c r="C495">
        <v>907</v>
      </c>
      <c r="D495">
        <v>10</v>
      </c>
      <c r="E495">
        <v>2</v>
      </c>
      <c r="F495">
        <v>2</v>
      </c>
      <c r="G495">
        <v>55.02</v>
      </c>
    </row>
    <row r="496" spans="1:7" x14ac:dyDescent="0.3">
      <c r="A496">
        <v>10</v>
      </c>
      <c r="B496" t="s">
        <v>9</v>
      </c>
      <c r="C496">
        <v>907</v>
      </c>
      <c r="D496">
        <v>10</v>
      </c>
      <c r="E496">
        <v>2</v>
      </c>
      <c r="F496">
        <v>3</v>
      </c>
      <c r="G496">
        <v>45.35</v>
      </c>
    </row>
    <row r="497" spans="1:7" x14ac:dyDescent="0.3">
      <c r="A497">
        <v>10</v>
      </c>
      <c r="B497" t="s">
        <v>9</v>
      </c>
      <c r="C497">
        <v>907</v>
      </c>
      <c r="D497">
        <v>10</v>
      </c>
      <c r="E497">
        <v>2</v>
      </c>
      <c r="F497">
        <v>4</v>
      </c>
      <c r="G497">
        <v>47.06</v>
      </c>
    </row>
    <row r="498" spans="1:7" x14ac:dyDescent="0.3">
      <c r="A498">
        <v>10</v>
      </c>
      <c r="B498" t="s">
        <v>9</v>
      </c>
      <c r="C498">
        <v>908</v>
      </c>
      <c r="D498">
        <v>3</v>
      </c>
      <c r="E498">
        <v>2</v>
      </c>
      <c r="F498">
        <v>1</v>
      </c>
      <c r="G498">
        <v>43.59</v>
      </c>
    </row>
    <row r="499" spans="1:7" x14ac:dyDescent="0.3">
      <c r="A499">
        <v>10</v>
      </c>
      <c r="B499" t="s">
        <v>9</v>
      </c>
      <c r="C499">
        <v>908</v>
      </c>
      <c r="D499">
        <v>3</v>
      </c>
      <c r="E499">
        <v>2</v>
      </c>
      <c r="F499">
        <v>2</v>
      </c>
      <c r="G499">
        <v>46.03</v>
      </c>
    </row>
    <row r="500" spans="1:7" x14ac:dyDescent="0.3">
      <c r="A500">
        <v>10</v>
      </c>
      <c r="B500" t="s">
        <v>9</v>
      </c>
      <c r="C500">
        <v>908</v>
      </c>
      <c r="D500">
        <v>3</v>
      </c>
      <c r="E500">
        <v>2</v>
      </c>
      <c r="F500">
        <v>3</v>
      </c>
      <c r="G500">
        <v>47.22</v>
      </c>
    </row>
    <row r="501" spans="1:7" x14ac:dyDescent="0.3">
      <c r="A501">
        <v>10</v>
      </c>
      <c r="B501" t="s">
        <v>9</v>
      </c>
      <c r="C501">
        <v>908</v>
      </c>
      <c r="D501">
        <v>3</v>
      </c>
      <c r="E501">
        <v>2</v>
      </c>
      <c r="F501">
        <v>4</v>
      </c>
      <c r="G501">
        <v>51.41</v>
      </c>
    </row>
    <row r="502" spans="1:7" x14ac:dyDescent="0.3">
      <c r="A502">
        <v>10</v>
      </c>
      <c r="B502" t="s">
        <v>9</v>
      </c>
      <c r="C502">
        <v>909</v>
      </c>
      <c r="D502">
        <v>1</v>
      </c>
      <c r="E502">
        <v>1</v>
      </c>
      <c r="F502">
        <v>1</v>
      </c>
      <c r="G502">
        <v>58.19</v>
      </c>
    </row>
    <row r="503" spans="1:7" x14ac:dyDescent="0.3">
      <c r="A503">
        <v>10</v>
      </c>
      <c r="B503" t="s">
        <v>9</v>
      </c>
      <c r="C503">
        <v>909</v>
      </c>
      <c r="D503">
        <v>1</v>
      </c>
      <c r="E503">
        <v>1</v>
      </c>
      <c r="F503">
        <v>2</v>
      </c>
      <c r="G503">
        <v>62.72</v>
      </c>
    </row>
    <row r="504" spans="1:7" x14ac:dyDescent="0.3">
      <c r="A504">
        <v>10</v>
      </c>
      <c r="B504" t="s">
        <v>9</v>
      </c>
      <c r="C504">
        <v>909</v>
      </c>
      <c r="D504">
        <v>1</v>
      </c>
      <c r="E504">
        <v>1</v>
      </c>
      <c r="F504">
        <v>3</v>
      </c>
      <c r="G504">
        <v>66.66</v>
      </c>
    </row>
    <row r="505" spans="1:7" x14ac:dyDescent="0.3">
      <c r="A505">
        <v>10</v>
      </c>
      <c r="B505" t="s">
        <v>9</v>
      </c>
      <c r="C505">
        <v>909</v>
      </c>
      <c r="D505">
        <v>1</v>
      </c>
      <c r="E505">
        <v>1</v>
      </c>
      <c r="F505">
        <v>4</v>
      </c>
      <c r="G505">
        <v>64.66</v>
      </c>
    </row>
    <row r="506" spans="1:7" x14ac:dyDescent="0.3">
      <c r="A506">
        <v>10</v>
      </c>
      <c r="B506" t="s">
        <v>9</v>
      </c>
      <c r="C506">
        <v>910</v>
      </c>
      <c r="D506">
        <v>1</v>
      </c>
      <c r="E506">
        <v>1</v>
      </c>
      <c r="F506">
        <v>1</v>
      </c>
      <c r="G506">
        <v>66.34</v>
      </c>
    </row>
    <row r="507" spans="1:7" x14ac:dyDescent="0.3">
      <c r="A507">
        <v>10</v>
      </c>
      <c r="B507" t="s">
        <v>9</v>
      </c>
      <c r="C507">
        <v>910</v>
      </c>
      <c r="D507">
        <v>1</v>
      </c>
      <c r="E507">
        <v>1</v>
      </c>
      <c r="F507">
        <v>2</v>
      </c>
      <c r="G507">
        <v>60.59</v>
      </c>
    </row>
    <row r="508" spans="1:7" x14ac:dyDescent="0.3">
      <c r="A508">
        <v>10</v>
      </c>
      <c r="B508" t="s">
        <v>9</v>
      </c>
      <c r="C508">
        <v>910</v>
      </c>
      <c r="D508">
        <v>1</v>
      </c>
      <c r="E508">
        <v>1</v>
      </c>
      <c r="F508">
        <v>3</v>
      </c>
      <c r="G508">
        <v>61.95</v>
      </c>
    </row>
    <row r="509" spans="1:7" x14ac:dyDescent="0.3">
      <c r="A509">
        <v>10</v>
      </c>
      <c r="B509" t="s">
        <v>9</v>
      </c>
      <c r="C509">
        <v>910</v>
      </c>
      <c r="D509">
        <v>1</v>
      </c>
      <c r="E509">
        <v>1</v>
      </c>
      <c r="F509">
        <v>4</v>
      </c>
      <c r="G509">
        <v>67.84</v>
      </c>
    </row>
    <row r="510" spans="1:7" x14ac:dyDescent="0.3">
      <c r="A510">
        <v>10</v>
      </c>
      <c r="B510" t="s">
        <v>9</v>
      </c>
      <c r="C510">
        <v>911</v>
      </c>
      <c r="D510">
        <v>1</v>
      </c>
      <c r="E510">
        <v>2</v>
      </c>
      <c r="F510">
        <v>1</v>
      </c>
      <c r="G510">
        <v>55.39</v>
      </c>
    </row>
    <row r="511" spans="1:7" x14ac:dyDescent="0.3">
      <c r="A511">
        <v>10</v>
      </c>
      <c r="B511" t="s">
        <v>9</v>
      </c>
      <c r="C511">
        <v>911</v>
      </c>
      <c r="D511">
        <v>1</v>
      </c>
      <c r="E511">
        <v>2</v>
      </c>
      <c r="F511">
        <v>2</v>
      </c>
      <c r="G511">
        <v>49.16</v>
      </c>
    </row>
    <row r="512" spans="1:7" x14ac:dyDescent="0.3">
      <c r="A512">
        <v>10</v>
      </c>
      <c r="B512" t="s">
        <v>9</v>
      </c>
      <c r="C512">
        <v>911</v>
      </c>
      <c r="D512">
        <v>1</v>
      </c>
      <c r="E512">
        <v>2</v>
      </c>
      <c r="F512">
        <v>3</v>
      </c>
      <c r="G512">
        <v>58.26</v>
      </c>
    </row>
    <row r="513" spans="1:7" x14ac:dyDescent="0.3">
      <c r="A513">
        <v>10</v>
      </c>
      <c r="B513" t="s">
        <v>9</v>
      </c>
      <c r="C513">
        <v>911</v>
      </c>
      <c r="D513">
        <v>1</v>
      </c>
      <c r="E513">
        <v>2</v>
      </c>
      <c r="F513">
        <v>4</v>
      </c>
      <c r="G513">
        <v>48.12</v>
      </c>
    </row>
    <row r="514" spans="1:7" x14ac:dyDescent="0.3">
      <c r="A514">
        <v>10</v>
      </c>
      <c r="B514" t="s">
        <v>9</v>
      </c>
      <c r="C514">
        <v>912</v>
      </c>
      <c r="D514">
        <v>6</v>
      </c>
      <c r="E514">
        <v>2</v>
      </c>
      <c r="F514">
        <v>1</v>
      </c>
      <c r="G514">
        <v>49.98</v>
      </c>
    </row>
    <row r="515" spans="1:7" x14ac:dyDescent="0.3">
      <c r="A515">
        <v>10</v>
      </c>
      <c r="B515" t="s">
        <v>9</v>
      </c>
      <c r="C515">
        <v>912</v>
      </c>
      <c r="D515">
        <v>6</v>
      </c>
      <c r="E515">
        <v>2</v>
      </c>
      <c r="F515">
        <v>2</v>
      </c>
      <c r="G515">
        <v>44.84</v>
      </c>
    </row>
    <row r="516" spans="1:7" x14ac:dyDescent="0.3">
      <c r="A516">
        <v>10</v>
      </c>
      <c r="B516" t="s">
        <v>9</v>
      </c>
      <c r="C516">
        <v>912</v>
      </c>
      <c r="D516">
        <v>6</v>
      </c>
      <c r="E516">
        <v>2</v>
      </c>
      <c r="F516">
        <v>3</v>
      </c>
      <c r="G516">
        <v>55.12</v>
      </c>
    </row>
    <row r="517" spans="1:7" x14ac:dyDescent="0.3">
      <c r="A517">
        <v>10</v>
      </c>
      <c r="B517" t="s">
        <v>9</v>
      </c>
      <c r="C517">
        <v>912</v>
      </c>
      <c r="D517">
        <v>6</v>
      </c>
      <c r="E517">
        <v>2</v>
      </c>
      <c r="F517">
        <v>4</v>
      </c>
      <c r="G517">
        <v>47.36</v>
      </c>
    </row>
    <row r="518" spans="1:7" x14ac:dyDescent="0.3">
      <c r="A518">
        <v>10</v>
      </c>
      <c r="B518" t="s">
        <v>9</v>
      </c>
      <c r="C518">
        <v>913</v>
      </c>
      <c r="D518">
        <v>24</v>
      </c>
      <c r="E518">
        <v>1</v>
      </c>
      <c r="F518">
        <v>1</v>
      </c>
      <c r="G518">
        <v>62.33</v>
      </c>
    </row>
    <row r="519" spans="1:7" x14ac:dyDescent="0.3">
      <c r="A519">
        <v>10</v>
      </c>
      <c r="B519" t="s">
        <v>9</v>
      </c>
      <c r="C519">
        <v>913</v>
      </c>
      <c r="D519">
        <v>24</v>
      </c>
      <c r="E519">
        <v>1</v>
      </c>
      <c r="F519">
        <v>2</v>
      </c>
      <c r="G519">
        <v>53.68</v>
      </c>
    </row>
    <row r="520" spans="1:7" x14ac:dyDescent="0.3">
      <c r="A520">
        <v>10</v>
      </c>
      <c r="B520" t="s">
        <v>9</v>
      </c>
      <c r="C520">
        <v>913</v>
      </c>
      <c r="D520">
        <v>24</v>
      </c>
      <c r="E520">
        <v>1</v>
      </c>
      <c r="F520">
        <v>3</v>
      </c>
      <c r="G520">
        <v>62.37</v>
      </c>
    </row>
    <row r="521" spans="1:7" x14ac:dyDescent="0.3">
      <c r="A521">
        <v>10</v>
      </c>
      <c r="B521" t="s">
        <v>9</v>
      </c>
      <c r="C521">
        <v>913</v>
      </c>
      <c r="D521">
        <v>24</v>
      </c>
      <c r="E521">
        <v>1</v>
      </c>
      <c r="F521">
        <v>4</v>
      </c>
      <c r="G521">
        <v>63.58</v>
      </c>
    </row>
    <row r="522" spans="1:7" x14ac:dyDescent="0.3">
      <c r="A522">
        <v>10</v>
      </c>
      <c r="B522" t="s">
        <v>9</v>
      </c>
      <c r="C522">
        <v>914</v>
      </c>
      <c r="D522">
        <v>9</v>
      </c>
      <c r="E522">
        <v>2</v>
      </c>
      <c r="F522">
        <v>1</v>
      </c>
      <c r="G522">
        <v>44.7</v>
      </c>
    </row>
    <row r="523" spans="1:7" x14ac:dyDescent="0.3">
      <c r="A523">
        <v>10</v>
      </c>
      <c r="B523" t="s">
        <v>9</v>
      </c>
      <c r="C523">
        <v>914</v>
      </c>
      <c r="D523">
        <v>9</v>
      </c>
      <c r="E523">
        <v>2</v>
      </c>
      <c r="F523">
        <v>2</v>
      </c>
      <c r="G523">
        <v>43.44</v>
      </c>
    </row>
    <row r="524" spans="1:7" x14ac:dyDescent="0.3">
      <c r="A524">
        <v>10</v>
      </c>
      <c r="B524" t="s">
        <v>9</v>
      </c>
      <c r="C524">
        <v>914</v>
      </c>
      <c r="D524">
        <v>9</v>
      </c>
      <c r="E524">
        <v>2</v>
      </c>
      <c r="F524">
        <v>3</v>
      </c>
      <c r="G524">
        <v>52.36</v>
      </c>
    </row>
    <row r="525" spans="1:7" x14ac:dyDescent="0.3">
      <c r="A525">
        <v>10</v>
      </c>
      <c r="B525" t="s">
        <v>9</v>
      </c>
      <c r="C525">
        <v>914</v>
      </c>
      <c r="D525">
        <v>9</v>
      </c>
      <c r="E525">
        <v>2</v>
      </c>
      <c r="F525">
        <v>4</v>
      </c>
      <c r="G525">
        <v>45.9</v>
      </c>
    </row>
    <row r="526" spans="1:7" x14ac:dyDescent="0.3">
      <c r="A526">
        <v>10</v>
      </c>
      <c r="B526" t="s">
        <v>9</v>
      </c>
      <c r="C526">
        <v>915</v>
      </c>
      <c r="D526">
        <v>3</v>
      </c>
      <c r="E526">
        <v>1</v>
      </c>
      <c r="F526">
        <v>1</v>
      </c>
      <c r="G526">
        <v>53.51</v>
      </c>
    </row>
    <row r="527" spans="1:7" x14ac:dyDescent="0.3">
      <c r="A527">
        <v>10</v>
      </c>
      <c r="B527" t="s">
        <v>9</v>
      </c>
      <c r="C527">
        <v>915</v>
      </c>
      <c r="D527">
        <v>3</v>
      </c>
      <c r="E527">
        <v>1</v>
      </c>
      <c r="F527">
        <v>2</v>
      </c>
      <c r="G527">
        <v>49.76</v>
      </c>
    </row>
    <row r="528" spans="1:7" x14ac:dyDescent="0.3">
      <c r="A528">
        <v>10</v>
      </c>
      <c r="B528" t="s">
        <v>9</v>
      </c>
      <c r="C528">
        <v>915</v>
      </c>
      <c r="D528">
        <v>3</v>
      </c>
      <c r="E528">
        <v>1</v>
      </c>
      <c r="F528">
        <v>3</v>
      </c>
      <c r="G528">
        <v>68.31</v>
      </c>
    </row>
    <row r="529" spans="1:7" x14ac:dyDescent="0.3">
      <c r="A529">
        <v>10</v>
      </c>
      <c r="B529" t="s">
        <v>9</v>
      </c>
      <c r="C529">
        <v>915</v>
      </c>
      <c r="D529">
        <v>3</v>
      </c>
      <c r="E529">
        <v>1</v>
      </c>
      <c r="F529">
        <v>4</v>
      </c>
      <c r="G529">
        <v>66.099999999999994</v>
      </c>
    </row>
    <row r="530" spans="1:7" x14ac:dyDescent="0.3">
      <c r="A530">
        <v>10</v>
      </c>
      <c r="B530" t="s">
        <v>9</v>
      </c>
      <c r="C530">
        <v>916</v>
      </c>
      <c r="D530">
        <v>7</v>
      </c>
      <c r="E530">
        <v>2</v>
      </c>
      <c r="F530">
        <v>1</v>
      </c>
      <c r="G530">
        <v>43.61</v>
      </c>
    </row>
    <row r="531" spans="1:7" x14ac:dyDescent="0.3">
      <c r="A531">
        <v>10</v>
      </c>
      <c r="B531" t="s">
        <v>9</v>
      </c>
      <c r="C531">
        <v>916</v>
      </c>
      <c r="D531">
        <v>7</v>
      </c>
      <c r="E531">
        <v>2</v>
      </c>
      <c r="F531">
        <v>2</v>
      </c>
      <c r="G531">
        <v>46.2</v>
      </c>
    </row>
    <row r="532" spans="1:7" x14ac:dyDescent="0.3">
      <c r="A532">
        <v>10</v>
      </c>
      <c r="B532" t="s">
        <v>9</v>
      </c>
      <c r="C532">
        <v>916</v>
      </c>
      <c r="D532">
        <v>7</v>
      </c>
      <c r="E532">
        <v>2</v>
      </c>
      <c r="F532">
        <v>3</v>
      </c>
      <c r="G532">
        <v>51.52</v>
      </c>
    </row>
    <row r="533" spans="1:7" x14ac:dyDescent="0.3">
      <c r="A533">
        <v>10</v>
      </c>
      <c r="B533" t="s">
        <v>9</v>
      </c>
      <c r="C533">
        <v>916</v>
      </c>
      <c r="D533">
        <v>7</v>
      </c>
      <c r="E533">
        <v>2</v>
      </c>
      <c r="F533">
        <v>4</v>
      </c>
      <c r="G533">
        <v>49.71</v>
      </c>
    </row>
    <row r="534" spans="1:7" x14ac:dyDescent="0.3">
      <c r="A534">
        <v>10</v>
      </c>
      <c r="B534" t="s">
        <v>9</v>
      </c>
      <c r="C534">
        <v>917</v>
      </c>
      <c r="D534">
        <v>14</v>
      </c>
      <c r="E534">
        <v>3</v>
      </c>
      <c r="F534">
        <v>1</v>
      </c>
      <c r="G534">
        <v>53.5</v>
      </c>
    </row>
    <row r="535" spans="1:7" x14ac:dyDescent="0.3">
      <c r="A535">
        <v>10</v>
      </c>
      <c r="B535" t="s">
        <v>9</v>
      </c>
      <c r="C535">
        <v>917</v>
      </c>
      <c r="D535">
        <v>14</v>
      </c>
      <c r="E535">
        <v>3</v>
      </c>
      <c r="F535">
        <v>2</v>
      </c>
      <c r="G535">
        <v>56.34</v>
      </c>
    </row>
    <row r="536" spans="1:7" x14ac:dyDescent="0.3">
      <c r="A536">
        <v>10</v>
      </c>
      <c r="B536" t="s">
        <v>9</v>
      </c>
      <c r="C536">
        <v>917</v>
      </c>
      <c r="D536">
        <v>14</v>
      </c>
      <c r="E536">
        <v>3</v>
      </c>
      <c r="F536">
        <v>3</v>
      </c>
      <c r="G536">
        <v>51.83</v>
      </c>
    </row>
    <row r="537" spans="1:7" x14ac:dyDescent="0.3">
      <c r="A537">
        <v>10</v>
      </c>
      <c r="B537" t="s">
        <v>9</v>
      </c>
      <c r="C537">
        <v>917</v>
      </c>
      <c r="D537">
        <v>14</v>
      </c>
      <c r="E537">
        <v>3</v>
      </c>
      <c r="F537">
        <v>4</v>
      </c>
      <c r="G537">
        <v>50.2</v>
      </c>
    </row>
    <row r="538" spans="1:7" x14ac:dyDescent="0.3">
      <c r="A538">
        <v>10</v>
      </c>
      <c r="B538" t="s">
        <v>9</v>
      </c>
      <c r="C538">
        <v>918</v>
      </c>
      <c r="D538">
        <v>6</v>
      </c>
      <c r="E538">
        <v>1</v>
      </c>
      <c r="F538">
        <v>1</v>
      </c>
      <c r="G538">
        <v>49.62</v>
      </c>
    </row>
    <row r="539" spans="1:7" x14ac:dyDescent="0.3">
      <c r="A539">
        <v>10</v>
      </c>
      <c r="B539" t="s">
        <v>9</v>
      </c>
      <c r="C539">
        <v>918</v>
      </c>
      <c r="D539">
        <v>6</v>
      </c>
      <c r="E539">
        <v>1</v>
      </c>
      <c r="F539">
        <v>2</v>
      </c>
      <c r="G539">
        <v>62.54</v>
      </c>
    </row>
    <row r="540" spans="1:7" x14ac:dyDescent="0.3">
      <c r="A540">
        <v>10</v>
      </c>
      <c r="B540" t="s">
        <v>9</v>
      </c>
      <c r="C540">
        <v>918</v>
      </c>
      <c r="D540">
        <v>6</v>
      </c>
      <c r="E540">
        <v>1</v>
      </c>
      <c r="F540">
        <v>3</v>
      </c>
      <c r="G540">
        <v>50.11</v>
      </c>
    </row>
    <row r="541" spans="1:7" x14ac:dyDescent="0.3">
      <c r="A541">
        <v>10</v>
      </c>
      <c r="B541" t="s">
        <v>9</v>
      </c>
      <c r="C541">
        <v>918</v>
      </c>
      <c r="D541">
        <v>6</v>
      </c>
      <c r="E541">
        <v>1</v>
      </c>
      <c r="F541">
        <v>4</v>
      </c>
      <c r="G541">
        <v>61.63</v>
      </c>
    </row>
    <row r="542" spans="1:7" x14ac:dyDescent="0.3">
      <c r="A542">
        <v>10</v>
      </c>
      <c r="B542" t="s">
        <v>9</v>
      </c>
      <c r="C542">
        <v>919</v>
      </c>
      <c r="D542">
        <v>2</v>
      </c>
      <c r="E542">
        <v>1</v>
      </c>
      <c r="F542">
        <v>1</v>
      </c>
      <c r="G542">
        <v>59.87</v>
      </c>
    </row>
    <row r="543" spans="1:7" x14ac:dyDescent="0.3">
      <c r="A543">
        <v>10</v>
      </c>
      <c r="B543" t="s">
        <v>9</v>
      </c>
      <c r="C543">
        <v>919</v>
      </c>
      <c r="D543">
        <v>2</v>
      </c>
      <c r="E543">
        <v>1</v>
      </c>
      <c r="F543">
        <v>2</v>
      </c>
      <c r="G543">
        <v>62.99</v>
      </c>
    </row>
    <row r="544" spans="1:7" x14ac:dyDescent="0.3">
      <c r="A544">
        <v>10</v>
      </c>
      <c r="B544" t="s">
        <v>9</v>
      </c>
      <c r="C544">
        <v>919</v>
      </c>
      <c r="D544">
        <v>2</v>
      </c>
      <c r="E544">
        <v>1</v>
      </c>
      <c r="F544">
        <v>3</v>
      </c>
      <c r="G544">
        <v>57.2</v>
      </c>
    </row>
    <row r="545" spans="1:7" x14ac:dyDescent="0.3">
      <c r="A545">
        <v>10</v>
      </c>
      <c r="B545" t="s">
        <v>9</v>
      </c>
      <c r="C545">
        <v>919</v>
      </c>
      <c r="D545">
        <v>2</v>
      </c>
      <c r="E545">
        <v>1</v>
      </c>
      <c r="F545">
        <v>4</v>
      </c>
      <c r="G545">
        <v>64.34</v>
      </c>
    </row>
    <row r="546" spans="1:7" x14ac:dyDescent="0.3">
      <c r="A546">
        <v>10</v>
      </c>
      <c r="B546" t="s">
        <v>9</v>
      </c>
      <c r="C546">
        <v>920</v>
      </c>
      <c r="D546">
        <v>14</v>
      </c>
      <c r="E546">
        <v>2</v>
      </c>
      <c r="F546">
        <v>1</v>
      </c>
      <c r="G546">
        <v>50.2</v>
      </c>
    </row>
    <row r="547" spans="1:7" x14ac:dyDescent="0.3">
      <c r="A547">
        <v>10</v>
      </c>
      <c r="B547" t="s">
        <v>9</v>
      </c>
      <c r="C547">
        <v>920</v>
      </c>
      <c r="D547">
        <v>14</v>
      </c>
      <c r="E547">
        <v>2</v>
      </c>
      <c r="F547">
        <v>2</v>
      </c>
      <c r="G547">
        <v>45.75</v>
      </c>
    </row>
    <row r="548" spans="1:7" x14ac:dyDescent="0.3">
      <c r="A548">
        <v>10</v>
      </c>
      <c r="B548" t="s">
        <v>9</v>
      </c>
      <c r="C548">
        <v>920</v>
      </c>
      <c r="D548">
        <v>14</v>
      </c>
      <c r="E548">
        <v>2</v>
      </c>
      <c r="F548">
        <v>3</v>
      </c>
      <c r="G548">
        <v>44.29</v>
      </c>
    </row>
    <row r="549" spans="1:7" x14ac:dyDescent="0.3">
      <c r="A549">
        <v>10</v>
      </c>
      <c r="B549" t="s">
        <v>9</v>
      </c>
      <c r="C549">
        <v>920</v>
      </c>
      <c r="D549">
        <v>14</v>
      </c>
      <c r="E549">
        <v>2</v>
      </c>
      <c r="F549">
        <v>4</v>
      </c>
      <c r="G549">
        <v>49.41</v>
      </c>
    </row>
  </sheetData>
  <conditionalFormatting sqref="G2:G549">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2:W13"/>
  <sheetViews>
    <sheetView workbookViewId="0">
      <selection activeCell="G22" sqref="G22"/>
    </sheetView>
  </sheetViews>
  <sheetFormatPr defaultRowHeight="14.4" x14ac:dyDescent="0.3"/>
  <cols>
    <col min="1" max="1" width="12.5546875" bestFit="1" customWidth="1"/>
    <col min="2" max="2" width="13.77734375" bestFit="1" customWidth="1"/>
    <col min="4" max="4" width="22.77734375" bestFit="1" customWidth="1"/>
    <col min="5" max="5" width="15.5546875" bestFit="1" customWidth="1"/>
    <col min="6" max="6" width="9" bestFit="1" customWidth="1"/>
    <col min="7" max="7" width="8" bestFit="1" customWidth="1"/>
    <col min="8" max="8" width="10.77734375" bestFit="1" customWidth="1"/>
    <col min="10" max="10" width="19.5546875" bestFit="1" customWidth="1"/>
    <col min="11" max="11" width="15.5546875" bestFit="1" customWidth="1"/>
    <col min="12" max="14" width="12" bestFit="1" customWidth="1"/>
    <col min="16" max="16" width="26" bestFit="1" customWidth="1"/>
    <col min="17" max="17" width="15.5546875" bestFit="1" customWidth="1"/>
    <col min="18" max="20" width="12" bestFit="1" customWidth="1"/>
    <col min="22" max="22" width="12.5546875" bestFit="1" customWidth="1"/>
    <col min="23" max="23" width="22.77734375" bestFit="1" customWidth="1"/>
  </cols>
  <sheetData>
    <row r="2" spans="1:23" x14ac:dyDescent="0.3">
      <c r="A2" s="3" t="s">
        <v>17</v>
      </c>
      <c r="B2" s="5" t="s">
        <v>20</v>
      </c>
      <c r="D2" s="3" t="s">
        <v>19</v>
      </c>
      <c r="E2" s="3" t="s">
        <v>21</v>
      </c>
      <c r="J2" s="3" t="s">
        <v>23</v>
      </c>
      <c r="K2" s="3" t="s">
        <v>21</v>
      </c>
      <c r="P2" s="3" t="s">
        <v>22</v>
      </c>
      <c r="Q2" s="3" t="s">
        <v>21</v>
      </c>
      <c r="V2" s="3" t="s">
        <v>17</v>
      </c>
      <c r="W2" t="s">
        <v>19</v>
      </c>
    </row>
    <row r="3" spans="1:23" x14ac:dyDescent="0.3">
      <c r="A3" s="4">
        <v>1</v>
      </c>
      <c r="B3" s="5">
        <v>9993.0300000000116</v>
      </c>
      <c r="D3" s="3" t="s">
        <v>17</v>
      </c>
      <c r="E3" t="s">
        <v>9</v>
      </c>
      <c r="F3" t="s">
        <v>7</v>
      </c>
      <c r="G3" t="s">
        <v>8</v>
      </c>
      <c r="H3" t="s">
        <v>18</v>
      </c>
      <c r="J3" s="3" t="s">
        <v>17</v>
      </c>
      <c r="K3">
        <v>1</v>
      </c>
      <c r="L3">
        <v>2</v>
      </c>
      <c r="M3">
        <v>3</v>
      </c>
      <c r="N3" t="s">
        <v>18</v>
      </c>
      <c r="P3" s="3" t="s">
        <v>17</v>
      </c>
      <c r="Q3">
        <v>1</v>
      </c>
      <c r="R3">
        <v>2</v>
      </c>
      <c r="S3">
        <v>3</v>
      </c>
      <c r="T3" t="s">
        <v>18</v>
      </c>
      <c r="V3" s="4">
        <v>209</v>
      </c>
      <c r="W3">
        <v>380.36</v>
      </c>
    </row>
    <row r="4" spans="1:23" x14ac:dyDescent="0.3">
      <c r="A4" s="4">
        <v>2</v>
      </c>
      <c r="B4" s="5">
        <v>8897.9300000000112</v>
      </c>
      <c r="D4" s="4">
        <v>1</v>
      </c>
      <c r="E4">
        <v>4213.21</v>
      </c>
      <c r="F4">
        <v>4576.5700000000006</v>
      </c>
      <c r="G4">
        <v>1203.2500000000002</v>
      </c>
      <c r="H4">
        <v>9993.0300000000007</v>
      </c>
      <c r="J4" s="4">
        <v>1</v>
      </c>
      <c r="K4">
        <v>58.24441860465118</v>
      </c>
      <c r="L4">
        <v>47.73021276595744</v>
      </c>
      <c r="M4">
        <v>55.776170212765969</v>
      </c>
      <c r="N4">
        <v>53.790583941605846</v>
      </c>
      <c r="P4" s="4" t="s">
        <v>24</v>
      </c>
      <c r="Q4">
        <v>62.178281249999991</v>
      </c>
      <c r="R4">
        <v>48.65323529411765</v>
      </c>
      <c r="S4">
        <v>64.717045454545442</v>
      </c>
      <c r="T4">
        <v>57.587386363636327</v>
      </c>
      <c r="V4" s="4">
        <v>218</v>
      </c>
      <c r="W4">
        <v>364.5</v>
      </c>
    </row>
    <row r="5" spans="1:23" x14ac:dyDescent="0.3">
      <c r="A5" s="4">
        <v>3</v>
      </c>
      <c r="B5" s="5">
        <v>10408.519999999997</v>
      </c>
      <c r="D5" s="4">
        <v>2</v>
      </c>
      <c r="E5">
        <v>3860.6099999999992</v>
      </c>
      <c r="F5">
        <v>4224.3499999999995</v>
      </c>
      <c r="G5">
        <v>812.97</v>
      </c>
      <c r="H5">
        <v>8897.9299999999985</v>
      </c>
      <c r="J5" s="4">
        <v>2</v>
      </c>
      <c r="K5">
        <v>56.929534883720912</v>
      </c>
      <c r="L5">
        <v>47.582553191489353</v>
      </c>
      <c r="M5">
        <v>55.949148936170225</v>
      </c>
      <c r="N5">
        <v>53.386569343065723</v>
      </c>
      <c r="P5" s="4" t="s">
        <v>25</v>
      </c>
      <c r="Q5">
        <v>58.482045454545457</v>
      </c>
      <c r="R5">
        <v>45.71416666666665</v>
      </c>
      <c r="S5">
        <v>49.028088235294121</v>
      </c>
      <c r="T5">
        <v>50.633750000000028</v>
      </c>
      <c r="V5" s="4">
        <v>220</v>
      </c>
      <c r="W5">
        <v>361.37</v>
      </c>
    </row>
    <row r="6" spans="1:23" x14ac:dyDescent="0.3">
      <c r="A6" s="4" t="s">
        <v>18</v>
      </c>
      <c r="B6" s="5">
        <v>29299.480000000018</v>
      </c>
      <c r="D6" s="4">
        <v>3</v>
      </c>
      <c r="E6">
        <v>3705.79</v>
      </c>
      <c r="F6">
        <v>5274.39</v>
      </c>
      <c r="G6">
        <v>1428.3400000000001</v>
      </c>
      <c r="H6">
        <v>10408.52</v>
      </c>
      <c r="J6" s="4">
        <v>3</v>
      </c>
      <c r="K6">
        <v>58.774883720930212</v>
      </c>
      <c r="L6">
        <v>47.722127659574468</v>
      </c>
      <c r="M6">
        <v>54.377872340425519</v>
      </c>
      <c r="N6">
        <v>53.474598540146005</v>
      </c>
      <c r="P6" s="4" t="s">
        <v>26</v>
      </c>
      <c r="Q6">
        <v>46.912916666666661</v>
      </c>
      <c r="R6">
        <v>40.841562500000002</v>
      </c>
      <c r="S6">
        <v>53.797777777777782</v>
      </c>
      <c r="T6">
        <v>47.49521739130433</v>
      </c>
      <c r="V6" s="4">
        <v>210</v>
      </c>
      <c r="W6">
        <v>357.05</v>
      </c>
    </row>
    <row r="7" spans="1:23" x14ac:dyDescent="0.3">
      <c r="D7" s="4" t="s">
        <v>18</v>
      </c>
      <c r="E7">
        <v>11779.61</v>
      </c>
      <c r="F7">
        <v>14075.310000000001</v>
      </c>
      <c r="G7">
        <v>3444.5600000000004</v>
      </c>
      <c r="H7">
        <v>29299.48</v>
      </c>
      <c r="J7" s="4">
        <v>4</v>
      </c>
      <c r="K7">
        <v>58.447209302325589</v>
      </c>
      <c r="L7">
        <v>46.282765957446799</v>
      </c>
      <c r="M7">
        <v>55.354680851063804</v>
      </c>
      <c r="N7">
        <v>53.213065693430671</v>
      </c>
      <c r="P7" s="4" t="s">
        <v>27</v>
      </c>
      <c r="Q7">
        <v>52.365000000000002</v>
      </c>
      <c r="R7">
        <v>53.664500000000011</v>
      </c>
      <c r="S7">
        <v>52.967500000000001</v>
      </c>
      <c r="T7">
        <v>53.074999999999989</v>
      </c>
      <c r="V7" s="4">
        <v>208</v>
      </c>
      <c r="W7">
        <v>354.31000000000006</v>
      </c>
    </row>
    <row r="8" spans="1:23" x14ac:dyDescent="0.3">
      <c r="J8" s="4" t="s">
        <v>18</v>
      </c>
      <c r="K8">
        <v>58.099011627907004</v>
      </c>
      <c r="L8">
        <v>47.329414893617049</v>
      </c>
      <c r="M8">
        <v>55.364468085106395</v>
      </c>
      <c r="N8">
        <v>53.466204379562065</v>
      </c>
      <c r="P8" s="4" t="s">
        <v>28</v>
      </c>
      <c r="Q8">
        <v>63.560833333333335</v>
      </c>
      <c r="R8">
        <v>39.421250000000001</v>
      </c>
      <c r="S8">
        <v>65.056249999999991</v>
      </c>
      <c r="T8">
        <v>58.8611111111111</v>
      </c>
      <c r="V8" s="4">
        <v>202</v>
      </c>
      <c r="W8">
        <v>349.66</v>
      </c>
    </row>
    <row r="9" spans="1:23" x14ac:dyDescent="0.3">
      <c r="P9" s="4" t="s">
        <v>29</v>
      </c>
      <c r="Q9">
        <v>63.045000000000002</v>
      </c>
      <c r="R9">
        <v>77.2</v>
      </c>
      <c r="S9">
        <v>51.878499999999995</v>
      </c>
      <c r="T9">
        <v>57.835312500000001</v>
      </c>
      <c r="V9" s="4">
        <v>214</v>
      </c>
      <c r="W9">
        <v>349.5</v>
      </c>
    </row>
    <row r="10" spans="1:23" x14ac:dyDescent="0.3">
      <c r="P10" s="4" t="s">
        <v>30</v>
      </c>
      <c r="Q10">
        <v>52.392499999999998</v>
      </c>
      <c r="R10">
        <v>48.854999999999997</v>
      </c>
      <c r="T10">
        <v>50.034166666666664</v>
      </c>
      <c r="V10" s="4">
        <v>205</v>
      </c>
      <c r="W10">
        <v>348.27</v>
      </c>
    </row>
    <row r="11" spans="1:23" x14ac:dyDescent="0.3">
      <c r="P11" s="4" t="s">
        <v>18</v>
      </c>
      <c r="Q11">
        <v>58.099011627906947</v>
      </c>
      <c r="R11">
        <v>47.329414893617042</v>
      </c>
      <c r="S11">
        <v>55.364468085106402</v>
      </c>
      <c r="T11">
        <v>53.466204379562036</v>
      </c>
      <c r="V11" s="4">
        <v>222</v>
      </c>
      <c r="W11">
        <v>347.68</v>
      </c>
    </row>
    <row r="12" spans="1:23" x14ac:dyDescent="0.3">
      <c r="V12" s="4">
        <v>207</v>
      </c>
      <c r="W12">
        <v>344.65</v>
      </c>
    </row>
    <row r="13" spans="1:23" x14ac:dyDescent="0.3">
      <c r="V13" s="4" t="s">
        <v>18</v>
      </c>
      <c r="W13">
        <v>3557.35</v>
      </c>
    </row>
  </sheetData>
  <pageMargins left="0.75" right="0.75" top="1" bottom="1" header="0.5" footer="0.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D4"/>
  <sheetViews>
    <sheetView workbookViewId="0">
      <selection activeCell="B6" sqref="B6"/>
    </sheetView>
  </sheetViews>
  <sheetFormatPr defaultRowHeight="14.4" x14ac:dyDescent="0.3"/>
  <cols>
    <col min="1" max="1" width="15" customWidth="1"/>
    <col min="2" max="2" width="20" customWidth="1"/>
    <col min="3" max="3" width="25" customWidth="1"/>
    <col min="4" max="4" width="20" customWidth="1"/>
  </cols>
  <sheetData>
    <row r="1" spans="1:4" x14ac:dyDescent="0.3">
      <c r="A1" s="1" t="s">
        <v>4</v>
      </c>
      <c r="B1" s="1" t="s">
        <v>10</v>
      </c>
      <c r="C1" s="1" t="s">
        <v>11</v>
      </c>
      <c r="D1" s="1" t="s">
        <v>12</v>
      </c>
    </row>
    <row r="2" spans="1:4" x14ac:dyDescent="0.3">
      <c r="A2" t="s">
        <v>13</v>
      </c>
      <c r="B2">
        <f>SUMIFS('Cleaned Data'!G:G, 'Cleaned Data'!E:E, 1)</f>
        <v>9993.0300000000116</v>
      </c>
      <c r="C2">
        <f>AVERAGEIFS('Cleaned Data'!G:G, 'Cleaned Data'!E:E, 1)</f>
        <v>58.099011627907046</v>
      </c>
      <c r="D2" t="s">
        <v>14</v>
      </c>
    </row>
    <row r="3" spans="1:4" x14ac:dyDescent="0.3">
      <c r="A3" t="s">
        <v>15</v>
      </c>
      <c r="B3">
        <f>SUMIFS('Cleaned Data'!G:G, 'Cleaned Data'!E:E, 2)</f>
        <v>8897.9300000000112</v>
      </c>
      <c r="C3">
        <f>AVERAGEIFS('Cleaned Data'!G:G, 'Cleaned Data'!E:E, 2)</f>
        <v>47.329414893617084</v>
      </c>
      <c r="D3" s="2">
        <f>(C3-C2)/C2</f>
        <v>-0.1853662641158759</v>
      </c>
    </row>
    <row r="4" spans="1:4" x14ac:dyDescent="0.3">
      <c r="A4" t="s">
        <v>16</v>
      </c>
      <c r="B4">
        <f>SUMIFS('Cleaned Data'!G:G, 'Cleaned Data'!E:E, 3)</f>
        <v>10408.519999999997</v>
      </c>
      <c r="C4">
        <f>AVERAGEIFS('Cleaned Data'!G:G, 'Cleaned Data'!E:E, 3)</f>
        <v>55.364468085106367</v>
      </c>
      <c r="D4" s="2">
        <f>(C4-C2)/C2</f>
        <v>-4.7066954603530289E-2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
  <sheetViews>
    <sheetView tabSelected="1" workbookViewId="0">
      <selection activeCell="P12" sqref="P12"/>
    </sheetView>
  </sheetViews>
  <sheetFormatPr defaultRowHeight="14.4" x14ac:dyDescent="0.3"/>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Pivot Analysis</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Tamer Elsheikh</cp:lastModifiedBy>
  <dcterms:created xsi:type="dcterms:W3CDTF">2026-09-21T20:24:33Z</dcterms:created>
  <dcterms:modified xsi:type="dcterms:W3CDTF">2026-09-23T18:13:42Z</dcterms:modified>
</cp:coreProperties>
</file>